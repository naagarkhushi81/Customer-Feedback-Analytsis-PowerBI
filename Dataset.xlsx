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996751054f3dec/Documents/Documents/"/>
    </mc:Choice>
  </mc:AlternateContent>
  <xr:revisionPtr revIDLastSave="118" documentId="13_ncr:1_{CF9929BA-3B96-4709-B9F4-31FEA27F3CDC}" xr6:coauthVersionLast="47" xr6:coauthVersionMax="47" xr10:uidLastSave="{8CEF8F4E-8183-4CCB-8406-197E32039879}"/>
  <bookViews>
    <workbookView xWindow="-110" yWindow="-110" windowWidth="19420" windowHeight="11500" xr2:uid="{66618B37-FC34-4BB3-9E58-2768F28E7B84}"/>
  </bookViews>
  <sheets>
    <sheet name="customer_feedb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</calcChain>
</file>

<file path=xl/sharedStrings.xml><?xml version="1.0" encoding="utf-8"?>
<sst xmlns="http://schemas.openxmlformats.org/spreadsheetml/2006/main" count="1211" uniqueCount="260">
  <si>
    <t>Customer ID</t>
  </si>
  <si>
    <t>Name</t>
  </si>
  <si>
    <t>Age</t>
  </si>
  <si>
    <t>Product Purchased</t>
  </si>
  <si>
    <t>Rating (1-5)</t>
  </si>
  <si>
    <t>Feedback Comment</t>
  </si>
  <si>
    <t>Issue Category</t>
  </si>
  <si>
    <t>Satisfaction Level</t>
  </si>
  <si>
    <t>Date</t>
  </si>
  <si>
    <t>CUST1000</t>
  </si>
  <si>
    <t>Aditya</t>
  </si>
  <si>
    <t>Shoes</t>
  </si>
  <si>
    <t>Worst purchase.</t>
  </si>
  <si>
    <t>Wrong Item</t>
  </si>
  <si>
    <t>Very Satisfied</t>
  </si>
  <si>
    <t>CUST1001</t>
  </si>
  <si>
    <t>Diya</t>
  </si>
  <si>
    <t>Water Bottle</t>
  </si>
  <si>
    <t>Could be better.</t>
  </si>
  <si>
    <t>Delivery Delay</t>
  </si>
  <si>
    <t>Neutral</t>
  </si>
  <si>
    <t>CUST1002</t>
  </si>
  <si>
    <t>Reyansh</t>
  </si>
  <si>
    <t>Backpack</t>
  </si>
  <si>
    <t>Not satisfied with quality.</t>
  </si>
  <si>
    <t>No Issue</t>
  </si>
  <si>
    <t>Satisfied</t>
  </si>
  <si>
    <t>CUST1003</t>
  </si>
  <si>
    <t>Myra</t>
  </si>
  <si>
    <t>Dissatisfied</t>
  </si>
  <si>
    <t>CUST1004</t>
  </si>
  <si>
    <t>Vihaan</t>
  </si>
  <si>
    <t>Headphones</t>
  </si>
  <si>
    <t>Customer Support</t>
  </si>
  <si>
    <t>CUST1005</t>
  </si>
  <si>
    <t>Kabir</t>
  </si>
  <si>
    <t>Laptop</t>
  </si>
  <si>
    <t>Value for money.</t>
  </si>
  <si>
    <t>Product Quality</t>
  </si>
  <si>
    <t>CUST1006</t>
  </si>
  <si>
    <t>Mobile Phone</t>
  </si>
  <si>
    <t>Delivery was late.</t>
  </si>
  <si>
    <t>Very Dissatisfied</t>
  </si>
  <si>
    <t>CUST1007</t>
  </si>
  <si>
    <t>T-shirt</t>
  </si>
  <si>
    <t>Loved it!</t>
  </si>
  <si>
    <t>CUST1008</t>
  </si>
  <si>
    <t>Ishaan</t>
  </si>
  <si>
    <t>CUST1009</t>
  </si>
  <si>
    <t>Sai</t>
  </si>
  <si>
    <t>Smartwatch</t>
  </si>
  <si>
    <t>Packaging Issue</t>
  </si>
  <si>
    <t>CUST1010</t>
  </si>
  <si>
    <t>Muhammad</t>
  </si>
  <si>
    <t>CUST1011</t>
  </si>
  <si>
    <t>CUST1012</t>
  </si>
  <si>
    <t>Aarav</t>
  </si>
  <si>
    <t>Packaging was damaged.</t>
  </si>
  <si>
    <t>CUST1013</t>
  </si>
  <si>
    <t>Arjun</t>
  </si>
  <si>
    <t>CUST1014</t>
  </si>
  <si>
    <t>Ananya</t>
  </si>
  <si>
    <t>Customer support was helpful.</t>
  </si>
  <si>
    <t>CUST1015</t>
  </si>
  <si>
    <t>Great product!</t>
  </si>
  <si>
    <t>CUST1016</t>
  </si>
  <si>
    <t>Vivaan</t>
  </si>
  <si>
    <t>CUST1017</t>
  </si>
  <si>
    <t>CUST1018</t>
  </si>
  <si>
    <t>CUST1019</t>
  </si>
  <si>
    <t>CUST1020</t>
  </si>
  <si>
    <t>Pihu</t>
  </si>
  <si>
    <t>CUST1021</t>
  </si>
  <si>
    <t>Anika</t>
  </si>
  <si>
    <t>CUST1022</t>
  </si>
  <si>
    <t>Aadhya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</si>
  <si>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</si>
  <si>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</si>
  <si>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</si>
  <si>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</si>
  <si>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</si>
  <si>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</si>
  <si>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</si>
  <si>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</si>
  <si>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Amazing experience!</t>
  </si>
  <si>
    <t>CUST1031</t>
  </si>
  <si>
    <t>CUST1032</t>
  </si>
  <si>
    <t>CUST1033</t>
  </si>
  <si>
    <t>CUST1034</t>
  </si>
  <si>
    <t>CUST1035</t>
  </si>
  <si>
    <t>CUST1036</t>
  </si>
  <si>
    <t>Sara</t>
  </si>
  <si>
    <t>CUST1037</t>
  </si>
  <si>
    <t>CUST1038</t>
  </si>
  <si>
    <t>CUST1039</t>
  </si>
  <si>
    <t>CUST1040</t>
  </si>
  <si>
    <t>Ira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</si>
  <si>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</si>
  <si>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</si>
  <si>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</si>
  <si>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</si>
  <si>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</si>
  <si>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</si>
  <si>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</si>
  <si>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</si>
  <si>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</si>
  <si>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</si>
  <si>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</si>
  <si>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</si>
  <si>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</si>
  <si>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</si>
  <si>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</si>
  <si>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</si>
  <si>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Saanvi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</si>
  <si>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</si>
  <si>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</si>
  <si>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</si>
  <si>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</si>
  <si>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</si>
  <si>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</si>
  <si>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</si>
  <si>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</si>
  <si>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</si>
  <si>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</si>
  <si>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</si>
  <si>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</si>
  <si>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</si>
  <si>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</si>
  <si>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</si>
  <si>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</si>
  <si>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</si>
  <si>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</si>
  <si>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</si>
  <si>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</si>
  <si>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</si>
  <si>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</si>
  <si>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</si>
  <si>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</si>
  <si>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</si>
  <si>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</si>
  <si>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</si>
  <si>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</si>
  <si>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</si>
  <si>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</si>
  <si>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</si>
  <si>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Navya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</si>
  <si>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</si>
  <si>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</si>
  <si>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</si>
  <si>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</si>
  <si>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</si>
  <si>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</si>
  <si>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</si>
  <si>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</si>
  <si>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</si>
  <si>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</si>
  <si>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</si>
  <si>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</si>
  <si>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</si>
  <si>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</si>
  <si>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</si>
  <si>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</si>
  <si>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</si>
  <si>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</si>
  <si>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</si>
  <si>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</si>
  <si>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</si>
  <si>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</si>
  <si>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</si>
  <si>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</si>
  <si>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</si>
  <si>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</si>
  <si>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</si>
  <si>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</si>
  <si>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</si>
  <si>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</si>
  <si>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</si>
  <si>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</si>
  <si>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</si>
  <si>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</si>
  <si>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</si>
  <si>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</si>
  <si>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</si>
  <si>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</si>
  <si>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</si>
  <si>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</si>
  <si>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</si>
  <si>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</si>
  <si>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</si>
  <si>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</si>
  <si>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</si>
  <si>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</si>
  <si>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</si>
  <si>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</si>
  <si>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</si>
  <si>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</si>
  <si>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</si>
  <si>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</si>
  <si>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</si>
  <si>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</si>
  <si>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</si>
  <si>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</si>
  <si>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</si>
  <si>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</si>
  <si>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</si>
  <si>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</si>
  <si>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</si>
  <si>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</si>
  <si>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</si>
  <si>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</si>
  <si>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</si>
  <si>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</si>
  <si>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</si>
  <si>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</si>
  <si>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</si>
  <si>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</si>
  <si>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</si>
  <si>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</si>
  <si>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</si>
  <si>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</si>
  <si>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</si>
  <si>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</si>
  <si>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</si>
  <si>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</si>
  <si>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</si>
  <si>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</si>
  <si>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</si>
  <si>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</si>
  <si>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</si>
  <si>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</si>
  <si>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</si>
  <si>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</si>
  <si>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</si>
  <si>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</si>
  <si>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</si>
  <si>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</si>
  <si>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</si>
  <si>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</si>
  <si>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</si>
  <si>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</si>
  <si>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</si>
  <si>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</si>
  <si>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</si>
  <si>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</si>
  <si>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</si>
  <si>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</si>
  <si>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</si>
  <si>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</si>
  <si>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</si>
  <si>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</si>
  <si>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</si>
  <si>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</si>
  <si>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</si>
  <si>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</si>
  <si>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</si>
  <si>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</si>
  <si>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</si>
  <si>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</si>
  <si>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Sentiment cateory</t>
  </si>
  <si>
    <t>Yearly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</si>
</sst>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64" fontId="0" fillId="33" borderId="0" xfId="0" applyNumberFormat="1" applyFill="1"/>
    <xf numFmtId="49" fontId="0" fillId="33" borderId="0" xfId="0" applyNumberFormat="1" applyFill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585C-F4D3-4763-BFFA-B17C070A2D53}">
  <dimension ref="A1:K201"/>
  <sheetViews>
    <sheetView tabSelected="1" workbookViewId="0">
      <selection activeCell="M11" sqref="M11"/>
    </sheetView>
  </sheetViews>
  <sheetFormatPr defaultRowHeight="14.5" x14ac:dyDescent="0.35"/>
  <cols>
    <col min="1" max="1" width="11.1796875" bestFit="1" customWidth="1"/>
    <col min="2" max="2" width="11.08984375" style="5" bestFit="1" customWidth="1"/>
    <col min="3" max="3" width="3.90625" bestFit="1" customWidth="1"/>
    <col min="4" max="4" width="16.453125" style="5" bestFit="1" customWidth="1"/>
    <col min="5" max="5" width="10.36328125" bestFit="1" customWidth="1"/>
    <col min="6" max="6" width="26.81640625" style="5" bestFit="1" customWidth="1"/>
    <col min="7" max="7" width="16.08984375" style="5" bestFit="1" customWidth="1"/>
    <col min="8" max="8" width="15.08984375" style="5" bestFit="1" customWidth="1"/>
    <col min="9" max="9" width="10.08984375" bestFit="1" customWidth="1"/>
    <col min="10" max="10" width="16" bestFit="1" customWidth="1"/>
    <col min="11" max="11" width="14" bestFit="1" customWidth="1"/>
    <col min="12" max="13" width="19.1796875" bestFit="1" customWidth="1"/>
    <col min="14" max="14" width="24.1796875" bestFit="1" customWidth="1"/>
    <col min="15" max="15" width="6.36328125" bestFit="1" customWidth="1"/>
    <col min="16" max="16" width="8.453125" bestFit="1" customWidth="1"/>
    <col min="17" max="17" width="10.7265625" bestFit="1" customWidth="1"/>
    <col min="18" max="18" width="17.54296875" customWidth="1"/>
    <col min="19" max="19" width="13.36328125" customWidth="1"/>
    <col min="20" max="20" width="20" bestFit="1" customWidth="1"/>
    <col min="21" max="21" width="6.81640625" customWidth="1"/>
    <col min="22" max="22" width="5.08984375" customWidth="1"/>
    <col min="23" max="23" width="4.81640625" customWidth="1"/>
    <col min="24" max="24" width="6.54296875" customWidth="1"/>
    <col min="25" max="25" width="10.7265625" bestFit="1" customWidth="1"/>
    <col min="26" max="26" width="7.08984375" bestFit="1" customWidth="1"/>
    <col min="27" max="27" width="7.90625" bestFit="1" customWidth="1"/>
    <col min="28" max="28" width="14.7265625" bestFit="1" customWidth="1"/>
    <col min="29" max="29" width="12.1796875" bestFit="1" customWidth="1"/>
    <col min="30" max="30" width="6.54296875" bestFit="1" customWidth="1"/>
    <col min="31" max="31" width="10.36328125" bestFit="1" customWidth="1"/>
    <col min="32" max="32" width="7.08984375" bestFit="1" customWidth="1"/>
    <col min="33" max="33" width="7.90625" bestFit="1" customWidth="1"/>
    <col min="34" max="34" width="14.7265625" bestFit="1" customWidth="1"/>
    <col min="35" max="35" width="12.1796875" bestFit="1" customWidth="1"/>
    <col min="36" max="36" width="6.54296875" bestFit="1" customWidth="1"/>
    <col min="37" max="37" width="10.36328125" bestFit="1" customWidth="1"/>
    <col min="38" max="38" width="7.08984375" bestFit="1" customWidth="1"/>
    <col min="39" max="39" width="7.90625" bestFit="1" customWidth="1"/>
    <col min="40" max="40" width="14.7265625" bestFit="1" customWidth="1"/>
    <col min="41" max="41" width="12.1796875" bestFit="1" customWidth="1"/>
    <col min="42" max="42" width="6.54296875" bestFit="1" customWidth="1"/>
    <col min="43" max="43" width="10.7265625" bestFit="1" customWidth="1"/>
    <col min="44" max="134" width="10.08984375" bestFit="1" customWidth="1"/>
    <col min="135" max="135" width="10.7265625" bestFit="1" customWidth="1"/>
    <col min="136" max="211" width="15.26953125" bestFit="1" customWidth="1"/>
    <col min="212" max="212" width="10.7265625" bestFit="1" customWidth="1"/>
  </cols>
  <sheetData>
    <row r="1" spans="1:11" x14ac:dyDescent="0.35">
      <c r="A1" s="2" t="s">
        <v>0</v>
      </c>
      <c r="B1" s="4" t="s">
        <v>1</v>
      </c>
      <c r="C1" s="2" t="s">
        <v>2</v>
      </c>
      <c r="D1" s="4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258</v>
      </c>
      <c r="K1" s="4" t="s">
        <v>259</v>
      </c>
    </row>
    <row r="2" spans="1:11" x14ac:dyDescent="0.35">
      <c r="A2" t="s">
        <v>9</v>
      </c>
      <c r="B2" s="5" t="s">
        <v>10</v>
      </c>
      <c r="C2">
        <v>35</v>
      </c>
      <c r="D2" s="5" t="s">
        <v>11</v>
      </c>
      <c r="E2">
        <v>2</v>
      </c>
      <c r="F2" s="5" t="s">
        <v>12</v>
      </c>
      <c r="G2" s="5" t="s">
        <v>13</v>
      </c>
      <c r="H2" s="5" t="s">
        <v>14</v>
      </c>
      <c r="I2" s="1">
        <v>46007</v>
      </c>
      <c r="J2" t="str">
        <f>IF(E2&gt;=4,"Positive",IF(E2=3,"Neutal","Negaitive"))</f>
        <v>Negaitive</v>
      </c>
      <c r="K2">
        <f t="shared" ref="K2:K33" si="0">YEAR(I2)</f>
        <v>2025</v>
      </c>
    </row>
    <row r="3" spans="1:11" x14ac:dyDescent="0.35">
      <c r="A3" t="s">
        <v>15</v>
      </c>
      <c r="B3" s="5" t="s">
        <v>16</v>
      </c>
      <c r="C3">
        <v>48</v>
      </c>
      <c r="D3" s="5" t="s">
        <v>17</v>
      </c>
      <c r="E3">
        <v>2</v>
      </c>
      <c r="F3" s="5" t="s">
        <v>18</v>
      </c>
      <c r="G3" s="5" t="s">
        <v>19</v>
      </c>
      <c r="H3" s="5" t="s">
        <v>20</v>
      </c>
      <c r="I3" s="1">
        <v>46111</v>
      </c>
      <c r="J3" t="str">
        <f t="shared" ref="J3:J66" si="1">IF(E3&gt;=4,"Positive",IF(E3=3,"Neutal","Negaitive"))</f>
        <v>Negaitive</v>
      </c>
      <c r="K3">
        <f t="shared" si="0"/>
        <v>2026</v>
      </c>
    </row>
    <row r="4" spans="1:11" x14ac:dyDescent="0.35">
      <c r="A4" t="s">
        <v>21</v>
      </c>
      <c r="B4" s="5" t="s">
        <v>22</v>
      </c>
      <c r="C4">
        <v>34</v>
      </c>
      <c r="D4" s="5" t="s">
        <v>23</v>
      </c>
      <c r="E4">
        <v>1</v>
      </c>
      <c r="F4" s="5" t="s">
        <v>24</v>
      </c>
      <c r="G4" s="5" t="s">
        <v>25</v>
      </c>
      <c r="H4" s="5" t="s">
        <v>26</v>
      </c>
      <c r="I4" s="1">
        <v>45999</v>
      </c>
      <c r="J4" t="str">
        <f t="shared" si="1"/>
        <v>Negaitive</v>
      </c>
      <c r="K4">
        <f t="shared" si="0"/>
        <v>2025</v>
      </c>
    </row>
    <row r="5" spans="1:11" x14ac:dyDescent="0.35">
      <c r="A5" t="s">
        <v>27</v>
      </c>
      <c r="B5" s="5" t="s">
        <v>28</v>
      </c>
      <c r="C5">
        <v>50</v>
      </c>
      <c r="D5" s="5" t="s">
        <v>11</v>
      </c>
      <c r="E5">
        <v>1</v>
      </c>
      <c r="F5" s="5" t="s">
        <v>24</v>
      </c>
      <c r="G5" s="5" t="s">
        <v>25</v>
      </c>
      <c r="H5" s="5" t="s">
        <v>29</v>
      </c>
      <c r="I5" s="1">
        <v>46006</v>
      </c>
      <c r="J5" t="str">
        <f t="shared" si="1"/>
        <v>Negaitive</v>
      </c>
      <c r="K5">
        <f t="shared" si="0"/>
        <v>2025</v>
      </c>
    </row>
    <row r="6" spans="1:11" x14ac:dyDescent="0.35">
      <c r="A6" t="s">
        <v>30</v>
      </c>
      <c r="B6" s="5" t="s">
        <v>31</v>
      </c>
      <c r="C6">
        <v>56</v>
      </c>
      <c r="D6" s="5" t="s">
        <v>32</v>
      </c>
      <c r="E6">
        <v>3</v>
      </c>
      <c r="F6" s="5" t="s">
        <v>12</v>
      </c>
      <c r="G6" s="5" t="s">
        <v>33</v>
      </c>
      <c r="H6" s="5" t="s">
        <v>26</v>
      </c>
      <c r="I6" s="1">
        <v>45990</v>
      </c>
      <c r="J6" t="str">
        <f t="shared" si="1"/>
        <v>Neutal</v>
      </c>
      <c r="K6">
        <f t="shared" si="0"/>
        <v>2025</v>
      </c>
    </row>
    <row r="7" spans="1:11" x14ac:dyDescent="0.35">
      <c r="A7" t="s">
        <v>34</v>
      </c>
      <c r="B7" s="5" t="s">
        <v>35</v>
      </c>
      <c r="C7">
        <v>40</v>
      </c>
      <c r="D7" s="5" t="s">
        <v>36</v>
      </c>
      <c r="E7">
        <v>5</v>
      </c>
      <c r="F7" s="5" t="s">
        <v>37</v>
      </c>
      <c r="G7" s="5" t="s">
        <v>38</v>
      </c>
      <c r="H7" s="5" t="s">
        <v>20</v>
      </c>
      <c r="I7" s="1">
        <v>46003</v>
      </c>
      <c r="J7" t="str">
        <f t="shared" si="1"/>
        <v>Positive</v>
      </c>
      <c r="K7">
        <f t="shared" si="0"/>
        <v>2025</v>
      </c>
    </row>
    <row r="8" spans="1:11" x14ac:dyDescent="0.35">
      <c r="A8" t="s">
        <v>39</v>
      </c>
      <c r="B8" s="5" t="s">
        <v>35</v>
      </c>
      <c r="C8">
        <v>58</v>
      </c>
      <c r="D8" s="5" t="s">
        <v>40</v>
      </c>
      <c r="E8">
        <v>2</v>
      </c>
      <c r="F8" s="5" t="s">
        <v>41</v>
      </c>
      <c r="G8" s="5" t="s">
        <v>13</v>
      </c>
      <c r="H8" s="5" t="s">
        <v>42</v>
      </c>
      <c r="I8" s="1">
        <v>46035</v>
      </c>
      <c r="J8" t="str">
        <f t="shared" si="1"/>
        <v>Negaitive</v>
      </c>
      <c r="K8">
        <f t="shared" si="0"/>
        <v>2026</v>
      </c>
    </row>
    <row r="9" spans="1:11" x14ac:dyDescent="0.35">
      <c r="A9" t="s">
        <v>43</v>
      </c>
      <c r="B9" s="5" t="s">
        <v>10</v>
      </c>
      <c r="C9">
        <v>22</v>
      </c>
      <c r="D9" s="5" t="s">
        <v>44</v>
      </c>
      <c r="E9">
        <v>3</v>
      </c>
      <c r="F9" s="5" t="s">
        <v>45</v>
      </c>
      <c r="G9" s="5" t="s">
        <v>19</v>
      </c>
      <c r="H9" s="5" t="s">
        <v>29</v>
      </c>
      <c r="I9" s="1">
        <v>46048</v>
      </c>
      <c r="J9" t="str">
        <f t="shared" si="1"/>
        <v>Neutal</v>
      </c>
      <c r="K9">
        <f t="shared" si="0"/>
        <v>2026</v>
      </c>
    </row>
    <row r="10" spans="1:11" x14ac:dyDescent="0.35">
      <c r="A10" t="s">
        <v>46</v>
      </c>
      <c r="B10" s="5" t="s">
        <v>47</v>
      </c>
      <c r="C10">
        <v>41</v>
      </c>
      <c r="D10" s="5" t="s">
        <v>11</v>
      </c>
      <c r="E10">
        <v>3</v>
      </c>
      <c r="F10" s="5" t="s">
        <v>12</v>
      </c>
      <c r="G10" s="5" t="s">
        <v>38</v>
      </c>
      <c r="H10" s="5" t="s">
        <v>29</v>
      </c>
      <c r="I10" s="1">
        <v>46050</v>
      </c>
      <c r="J10" t="str">
        <f t="shared" si="1"/>
        <v>Neutal</v>
      </c>
      <c r="K10">
        <f t="shared" si="0"/>
        <v>2026</v>
      </c>
    </row>
    <row r="11" spans="1:11" x14ac:dyDescent="0.35">
      <c r="A11" t="s">
        <v>48</v>
      </c>
      <c r="B11" s="5" t="s">
        <v>49</v>
      </c>
      <c r="C11">
        <v>38</v>
      </c>
      <c r="D11" s="5" t="s">
        <v>50</v>
      </c>
      <c r="E11">
        <v>4</v>
      </c>
      <c r="F11" s="5" t="s">
        <v>45</v>
      </c>
      <c r="G11" s="5" t="s">
        <v>51</v>
      </c>
      <c r="H11" s="5" t="s">
        <v>14</v>
      </c>
      <c r="I11" s="1">
        <v>46123</v>
      </c>
      <c r="J11" t="str">
        <f t="shared" si="1"/>
        <v>Positive</v>
      </c>
      <c r="K11">
        <f t="shared" si="0"/>
        <v>2026</v>
      </c>
    </row>
    <row r="12" spans="1:11" x14ac:dyDescent="0.35">
      <c r="A12" t="s">
        <v>52</v>
      </c>
      <c r="B12" s="5" t="s">
        <v>53</v>
      </c>
      <c r="C12">
        <v>47</v>
      </c>
      <c r="D12" s="5" t="s">
        <v>23</v>
      </c>
      <c r="E12">
        <v>4</v>
      </c>
      <c r="F12" s="5" t="s">
        <v>12</v>
      </c>
      <c r="G12" s="5" t="s">
        <v>38</v>
      </c>
      <c r="H12" s="5" t="s">
        <v>29</v>
      </c>
      <c r="I12" s="1">
        <v>46037</v>
      </c>
      <c r="J12" t="str">
        <f t="shared" si="1"/>
        <v>Positive</v>
      </c>
      <c r="K12">
        <f t="shared" si="0"/>
        <v>2026</v>
      </c>
    </row>
    <row r="13" spans="1:11" x14ac:dyDescent="0.35">
      <c r="A13" t="s">
        <v>54</v>
      </c>
      <c r="B13" s="5" t="s">
        <v>22</v>
      </c>
      <c r="C13">
        <v>24</v>
      </c>
      <c r="D13" s="5" t="s">
        <v>44</v>
      </c>
      <c r="E13">
        <v>4</v>
      </c>
      <c r="F13" s="5" t="s">
        <v>41</v>
      </c>
      <c r="G13" s="5" t="s">
        <v>38</v>
      </c>
      <c r="H13" s="5" t="s">
        <v>29</v>
      </c>
      <c r="I13" s="1">
        <v>46135</v>
      </c>
      <c r="J13" t="str">
        <f t="shared" si="1"/>
        <v>Positive</v>
      </c>
      <c r="K13">
        <f t="shared" si="0"/>
        <v>2026</v>
      </c>
    </row>
    <row r="14" spans="1:11" x14ac:dyDescent="0.35">
      <c r="A14" t="s">
        <v>55</v>
      </c>
      <c r="B14" s="5" t="s">
        <v>56</v>
      </c>
      <c r="C14">
        <v>39</v>
      </c>
      <c r="D14" s="5" t="s">
        <v>23</v>
      </c>
      <c r="E14">
        <v>5</v>
      </c>
      <c r="F14" s="5" t="s">
        <v>57</v>
      </c>
      <c r="G14" s="5" t="s">
        <v>38</v>
      </c>
      <c r="H14" s="5" t="s">
        <v>20</v>
      </c>
      <c r="I14" s="1">
        <v>46077</v>
      </c>
      <c r="J14" t="str">
        <f t="shared" si="1"/>
        <v>Positive</v>
      </c>
      <c r="K14">
        <f t="shared" si="0"/>
        <v>2026</v>
      </c>
    </row>
    <row r="15" spans="1:11" x14ac:dyDescent="0.35">
      <c r="A15" t="s">
        <v>58</v>
      </c>
      <c r="B15" s="5" t="s">
        <v>59</v>
      </c>
      <c r="C15">
        <v>41</v>
      </c>
      <c r="D15" s="5" t="s">
        <v>40</v>
      </c>
      <c r="E15">
        <v>4</v>
      </c>
      <c r="F15" s="5" t="s">
        <v>24</v>
      </c>
      <c r="G15" s="5" t="s">
        <v>19</v>
      </c>
      <c r="H15" s="5" t="s">
        <v>29</v>
      </c>
      <c r="I15" s="1">
        <v>46117</v>
      </c>
      <c r="J15" t="str">
        <f t="shared" si="1"/>
        <v>Positive</v>
      </c>
      <c r="K15">
        <f t="shared" si="0"/>
        <v>2026</v>
      </c>
    </row>
    <row r="16" spans="1:11" x14ac:dyDescent="0.35">
      <c r="A16" t="s">
        <v>60</v>
      </c>
      <c r="B16" s="5" t="s">
        <v>61</v>
      </c>
      <c r="C16">
        <v>53</v>
      </c>
      <c r="D16" s="5" t="s">
        <v>36</v>
      </c>
      <c r="E16">
        <v>2</v>
      </c>
      <c r="F16" s="5" t="s">
        <v>62</v>
      </c>
      <c r="G16" s="5" t="s">
        <v>25</v>
      </c>
      <c r="H16" s="5" t="s">
        <v>29</v>
      </c>
      <c r="I16" s="1">
        <v>46059</v>
      </c>
      <c r="J16" t="str">
        <f t="shared" si="1"/>
        <v>Negaitive</v>
      </c>
      <c r="K16">
        <f t="shared" si="0"/>
        <v>2026</v>
      </c>
    </row>
    <row r="17" spans="1:11" x14ac:dyDescent="0.35">
      <c r="A17" t="s">
        <v>63</v>
      </c>
      <c r="B17" s="5" t="s">
        <v>53</v>
      </c>
      <c r="C17">
        <v>18</v>
      </c>
      <c r="D17" s="5" t="s">
        <v>50</v>
      </c>
      <c r="E17">
        <v>5</v>
      </c>
      <c r="F17" s="5" t="s">
        <v>64</v>
      </c>
      <c r="G17" s="5" t="s">
        <v>13</v>
      </c>
      <c r="H17" s="5" t="s">
        <v>20</v>
      </c>
      <c r="I17" s="1">
        <v>45987</v>
      </c>
      <c r="J17" t="str">
        <f t="shared" si="1"/>
        <v>Positive</v>
      </c>
      <c r="K17">
        <f t="shared" si="0"/>
        <v>2025</v>
      </c>
    </row>
    <row r="18" spans="1:11" x14ac:dyDescent="0.35">
      <c r="A18" t="s">
        <v>65</v>
      </c>
      <c r="B18" s="5" t="s">
        <v>66</v>
      </c>
      <c r="C18">
        <v>31</v>
      </c>
      <c r="D18" s="5" t="s">
        <v>40</v>
      </c>
      <c r="E18">
        <v>1</v>
      </c>
      <c r="F18" s="5" t="s">
        <v>62</v>
      </c>
      <c r="G18" s="5" t="s">
        <v>19</v>
      </c>
      <c r="H18" s="5" t="s">
        <v>14</v>
      </c>
      <c r="I18" s="1">
        <v>46116</v>
      </c>
      <c r="J18" t="str">
        <f t="shared" si="1"/>
        <v>Negaitive</v>
      </c>
      <c r="K18">
        <f t="shared" si="0"/>
        <v>2026</v>
      </c>
    </row>
    <row r="19" spans="1:11" x14ac:dyDescent="0.35">
      <c r="A19" t="s">
        <v>67</v>
      </c>
      <c r="B19" s="5" t="s">
        <v>22</v>
      </c>
      <c r="C19">
        <v>43</v>
      </c>
      <c r="D19" s="5" t="s">
        <v>23</v>
      </c>
      <c r="E19">
        <v>4</v>
      </c>
      <c r="F19" s="5" t="s">
        <v>24</v>
      </c>
      <c r="G19" s="5" t="s">
        <v>51</v>
      </c>
      <c r="H19" s="5" t="s">
        <v>20</v>
      </c>
      <c r="I19" s="1">
        <v>46151</v>
      </c>
      <c r="J19" t="str">
        <f t="shared" si="1"/>
        <v>Positive</v>
      </c>
      <c r="K19">
        <f t="shared" si="0"/>
        <v>2026</v>
      </c>
    </row>
    <row r="20" spans="1:11" x14ac:dyDescent="0.35">
      <c r="A20" t="s">
        <v>68</v>
      </c>
      <c r="B20" s="5" t="s">
        <v>66</v>
      </c>
      <c r="C20">
        <v>49</v>
      </c>
      <c r="D20" s="5" t="s">
        <v>17</v>
      </c>
      <c r="E20">
        <v>2</v>
      </c>
      <c r="F20" s="5" t="s">
        <v>12</v>
      </c>
      <c r="G20" s="5" t="s">
        <v>33</v>
      </c>
      <c r="H20" s="5" t="s">
        <v>42</v>
      </c>
      <c r="I20" s="1">
        <v>46051</v>
      </c>
      <c r="J20" t="str">
        <f t="shared" si="1"/>
        <v>Negaitive</v>
      </c>
      <c r="K20">
        <f t="shared" si="0"/>
        <v>2026</v>
      </c>
    </row>
    <row r="21" spans="1:11" x14ac:dyDescent="0.35">
      <c r="A21" t="s">
        <v>69</v>
      </c>
      <c r="B21" s="5" t="s">
        <v>61</v>
      </c>
      <c r="C21">
        <v>38</v>
      </c>
      <c r="D21" s="5" t="s">
        <v>23</v>
      </c>
      <c r="E21">
        <v>5</v>
      </c>
      <c r="F21" s="5" t="s">
        <v>41</v>
      </c>
      <c r="G21" s="5" t="s">
        <v>38</v>
      </c>
      <c r="H21" s="5" t="s">
        <v>14</v>
      </c>
      <c r="I21" s="1">
        <v>46098</v>
      </c>
      <c r="J21" t="str">
        <f t="shared" si="1"/>
        <v>Positive</v>
      </c>
      <c r="K21">
        <f t="shared" si="0"/>
        <v>2026</v>
      </c>
    </row>
    <row r="22" spans="1:11" x14ac:dyDescent="0.35">
      <c r="A22" t="s">
        <v>70</v>
      </c>
      <c r="B22" s="5" t="s">
        <v>71</v>
      </c>
      <c r="C22">
        <v>25</v>
      </c>
      <c r="D22" s="5" t="s">
        <v>36</v>
      </c>
      <c r="E22">
        <v>1</v>
      </c>
      <c r="F22" s="5" t="s">
        <v>45</v>
      </c>
      <c r="G22" s="5" t="s">
        <v>19</v>
      </c>
      <c r="H22" s="5" t="s">
        <v>20</v>
      </c>
      <c r="I22" s="1">
        <v>46150</v>
      </c>
      <c r="J22" t="str">
        <f t="shared" si="1"/>
        <v>Negaitive</v>
      </c>
      <c r="K22">
        <f t="shared" si="0"/>
        <v>2026</v>
      </c>
    </row>
    <row r="23" spans="1:11" x14ac:dyDescent="0.35">
      <c r="A23" t="s">
        <v>72</v>
      </c>
      <c r="B23" s="5" t="s">
        <v>73</v>
      </c>
      <c r="C23">
        <v>56</v>
      </c>
      <c r="D23" s="5" t="s">
        <v>32</v>
      </c>
      <c r="E23">
        <v>4</v>
      </c>
      <c r="F23" s="5" t="s">
        <v>45</v>
      </c>
      <c r="G23" s="5" t="s">
        <v>19</v>
      </c>
      <c r="H23" s="5" t="s">
        <v>42</v>
      </c>
      <c r="I23" s="1">
        <v>46116</v>
      </c>
      <c r="J23" t="str">
        <f t="shared" si="1"/>
        <v>Positive</v>
      </c>
      <c r="K23">
        <f t="shared" si="0"/>
        <v>2026</v>
      </c>
    </row>
    <row r="24" spans="1:11" x14ac:dyDescent="0.35">
      <c r="A24" t="s">
        <v>74</v>
      </c>
      <c r="B24" s="5" t="s">
        <v>75</v>
      </c>
      <c r="C24">
        <v>33</v>
      </c>
      <c r="D24" s="5" t="s">
        <v>40</v>
      </c>
      <c r="E24">
        <v>1</v>
      </c>
      <c r="F24" s="5" t="s">
        <v>12</v>
      </c>
      <c r="G24" s="5" t="s">
        <v>25</v>
      </c>
      <c r="H24" s="5" t="s">
        <v>29</v>
      </c>
      <c r="I24" s="1">
        <v>46011</v>
      </c>
      <c r="J24" t="str">
        <f t="shared" si="1"/>
        <v>Negaitive</v>
      </c>
      <c r="K24">
        <f t="shared" si="0"/>
        <v>2025</v>
      </c>
    </row>
    <row r="25" spans="1:11" x14ac:dyDescent="0.35">
      <c r="A25" t="s">
        <v>76</v>
      </c>
      <c r="B25" s="5" t="s">
        <v>53</v>
      </c>
      <c r="C25">
        <v>59</v>
      </c>
      <c r="D25" s="5" t="s">
        <v>11</v>
      </c>
      <c r="E25">
        <v>4</v>
      </c>
      <c r="F25" s="5" t="s">
        <v>24</v>
      </c>
      <c r="G25" s="5" t="s">
        <v>33</v>
      </c>
      <c r="H25" s="5" t="s">
        <v>26</v>
      </c>
      <c r="I25" s="1">
        <v>46023</v>
      </c>
      <c r="J25" t="str">
        <f t="shared" si="1"/>
        <v>Positive</v>
      </c>
      <c r="K25">
        <f t="shared" si="0"/>
        <v>2026</v>
      </c>
    </row>
    <row r="26" spans="1:11" x14ac:dyDescent="0.35">
      <c r="A26" t="s">
        <v>77</v>
      </c>
      <c r="B26" s="5" t="s">
        <v>59</v>
      </c>
      <c r="C26">
        <v>25</v>
      </c>
      <c r="D26" s="5" t="s">
        <v>36</v>
      </c>
      <c r="E26">
        <v>1</v>
      </c>
      <c r="F26" s="5" t="s">
        <v>45</v>
      </c>
      <c r="G26" s="5" t="s">
        <v>51</v>
      </c>
      <c r="H26" s="5" t="s">
        <v>29</v>
      </c>
      <c r="I26" s="1">
        <v>46039</v>
      </c>
      <c r="J26" t="str">
        <f t="shared" si="1"/>
        <v>Negaitive</v>
      </c>
      <c r="K26">
        <f t="shared" si="0"/>
        <v>2026</v>
      </c>
    </row>
    <row r="27" spans="1:11" x14ac:dyDescent="0.35">
      <c r="A27" t="s">
        <v>78</v>
      </c>
      <c r="B27" s="5" t="s">
        <v>61</v>
      </c>
      <c r="C27">
        <v>24</v>
      </c>
      <c r="D27" s="5" t="s">
        <v>40</v>
      </c>
      <c r="E27">
        <v>2</v>
      </c>
      <c r="F27" s="5" t="s">
        <v>57</v>
      </c>
      <c r="G27" s="5" t="s">
        <v>33</v>
      </c>
      <c r="H27" s="5" t="s">
        <v>14</v>
      </c>
      <c r="I27" s="1">
        <v>46065</v>
      </c>
      <c r="J27" t="str">
        <f t="shared" si="1"/>
        <v>Negaitive</v>
      </c>
      <c r="K27">
        <f t="shared" si="0"/>
        <v>2026</v>
      </c>
    </row>
    <row r="28" spans="1:11" x14ac:dyDescent="0.35">
      <c r="A28" t="s">
        <v>79</v>
      </c>
      <c r="B28" s="5" t="s">
        <v>71</v>
      </c>
      <c r="C28">
        <v>36</v>
      </c>
      <c r="D28" s="5" t="s">
        <v>11</v>
      </c>
      <c r="E28">
        <v>4</v>
      </c>
      <c r="F28" s="5" t="s">
        <v>45</v>
      </c>
      <c r="G28" s="5" t="s">
        <v>38</v>
      </c>
      <c r="H28" s="5" t="s">
        <v>14</v>
      </c>
      <c r="I28" s="1">
        <v>46126</v>
      </c>
      <c r="J28" t="str">
        <f t="shared" si="1"/>
        <v>Positive</v>
      </c>
      <c r="K28">
        <f t="shared" si="0"/>
        <v>2026</v>
      </c>
    </row>
    <row r="29" spans="1:11" x14ac:dyDescent="0.35">
      <c r="A29" t="s">
        <v>80</v>
      </c>
      <c r="B29" s="5" t="s">
        <v>61</v>
      </c>
      <c r="C29">
        <v>58</v>
      </c>
      <c r="D29" s="5" t="s">
        <v>23</v>
      </c>
      <c r="E29">
        <v>2</v>
      </c>
      <c r="F29" s="5" t="s">
        <v>37</v>
      </c>
      <c r="G29" s="5" t="s">
        <v>13</v>
      </c>
      <c r="H29" s="5" t="s">
        <v>42</v>
      </c>
      <c r="I29" s="1">
        <v>46058</v>
      </c>
      <c r="J29" t="str">
        <f t="shared" si="1"/>
        <v>Negaitive</v>
      </c>
      <c r="K29">
        <f t="shared" si="0"/>
        <v>2026</v>
      </c>
    </row>
    <row r="30" spans="1:11" x14ac:dyDescent="0.35">
      <c r="A30" t="s">
        <v>81</v>
      </c>
      <c r="B30" s="5" t="s">
        <v>56</v>
      </c>
      <c r="C30">
        <v>20</v>
      </c>
      <c r="D30" s="5" t="s">
        <v>32</v>
      </c>
      <c r="E30">
        <v>1</v>
      </c>
      <c r="F30" s="5" t="s">
        <v>62</v>
      </c>
      <c r="G30" s="5" t="s">
        <v>51</v>
      </c>
      <c r="H30" s="5" t="s">
        <v>14</v>
      </c>
      <c r="I30" s="1">
        <v>46063</v>
      </c>
      <c r="J30" t="str">
        <f t="shared" si="1"/>
        <v>Negaitive</v>
      </c>
      <c r="K30">
        <f t="shared" si="0"/>
        <v>2026</v>
      </c>
    </row>
    <row r="31" spans="1:11" x14ac:dyDescent="0.35">
      <c r="A31" t="s">
        <v>82</v>
      </c>
      <c r="B31" s="5" t="s">
        <v>59</v>
      </c>
      <c r="C31">
        <v>35</v>
      </c>
      <c r="D31" s="5" t="s">
        <v>44</v>
      </c>
      <c r="E31">
        <v>1</v>
      </c>
      <c r="F31" s="5" t="s">
        <v>62</v>
      </c>
      <c r="G31" s="5" t="s">
        <v>38</v>
      </c>
      <c r="H31" s="5" t="s">
        <v>29</v>
      </c>
      <c r="I31" s="1">
        <v>46062</v>
      </c>
      <c r="J31" t="str">
        <f t="shared" si="1"/>
        <v>Negaitive</v>
      </c>
      <c r="K31">
        <f t="shared" si="0"/>
        <v>2026</v>
      </c>
    </row>
    <row r="32" spans="1:11" x14ac:dyDescent="0.35">
      <c r="A32" t="s">
        <v>83</v>
      </c>
      <c r="B32" s="5" t="s">
        <v>66</v>
      </c>
      <c r="C32">
        <v>57</v>
      </c>
      <c r="D32" s="5" t="s">
        <v>11</v>
      </c>
      <c r="E32">
        <v>5</v>
      </c>
      <c r="F32" s="5" t="s">
        <v>84</v>
      </c>
      <c r="G32" s="5" t="s">
        <v>38</v>
      </c>
      <c r="H32" s="5" t="s">
        <v>14</v>
      </c>
      <c r="I32" s="1">
        <v>46115</v>
      </c>
      <c r="J32" t="str">
        <f t="shared" si="1"/>
        <v>Positive</v>
      </c>
      <c r="K32">
        <f t="shared" si="0"/>
        <v>2026</v>
      </c>
    </row>
    <row r="33" spans="1:11" x14ac:dyDescent="0.35">
      <c r="A33" t="s">
        <v>85</v>
      </c>
      <c r="B33" s="5" t="s">
        <v>28</v>
      </c>
      <c r="C33">
        <v>34</v>
      </c>
      <c r="D33" s="5" t="s">
        <v>50</v>
      </c>
      <c r="E33">
        <v>4</v>
      </c>
      <c r="F33" s="5" t="s">
        <v>24</v>
      </c>
      <c r="G33" s="5" t="s">
        <v>19</v>
      </c>
      <c r="H33" s="5" t="s">
        <v>42</v>
      </c>
      <c r="I33" s="1">
        <v>45986</v>
      </c>
      <c r="J33" t="str">
        <f t="shared" si="1"/>
        <v>Positive</v>
      </c>
      <c r="K33">
        <f t="shared" si="0"/>
        <v>2025</v>
      </c>
    </row>
    <row r="34" spans="1:11" x14ac:dyDescent="0.35">
      <c r="A34" t="s">
        <v>86</v>
      </c>
      <c r="B34" s="5" t="s">
        <v>31</v>
      </c>
      <c r="C34">
        <v>32</v>
      </c>
      <c r="D34" s="5" t="s">
        <v>44</v>
      </c>
      <c r="E34">
        <v>2</v>
      </c>
      <c r="F34" s="5" t="s">
        <v>24</v>
      </c>
      <c r="G34" s="5" t="s">
        <v>51</v>
      </c>
      <c r="H34" s="5" t="s">
        <v>29</v>
      </c>
      <c r="I34" s="1">
        <v>46091</v>
      </c>
      <c r="J34" t="str">
        <f t="shared" si="1"/>
        <v>Negaitive</v>
      </c>
      <c r="K34">
        <f t="shared" ref="K34:K65" si="2">YEAR(I34)</f>
        <v>2026</v>
      </c>
    </row>
    <row r="35" spans="1:11" x14ac:dyDescent="0.35">
      <c r="A35" t="s">
        <v>87</v>
      </c>
      <c r="B35" s="5" t="s">
        <v>49</v>
      </c>
      <c r="C35">
        <v>53</v>
      </c>
      <c r="D35" s="5" t="s">
        <v>44</v>
      </c>
      <c r="E35">
        <v>3</v>
      </c>
      <c r="F35" s="5" t="s">
        <v>45</v>
      </c>
      <c r="G35" s="5" t="s">
        <v>51</v>
      </c>
      <c r="H35" s="5" t="s">
        <v>20</v>
      </c>
      <c r="I35" s="1">
        <v>46139</v>
      </c>
      <c r="J35" t="str">
        <f t="shared" si="1"/>
        <v>Neutal</v>
      </c>
      <c r="K35">
        <f t="shared" si="2"/>
        <v>2026</v>
      </c>
    </row>
    <row r="36" spans="1:11" x14ac:dyDescent="0.35">
      <c r="A36" t="s">
        <v>88</v>
      </c>
      <c r="B36" s="5" t="s">
        <v>53</v>
      </c>
      <c r="C36">
        <v>31</v>
      </c>
      <c r="D36" s="5" t="s">
        <v>32</v>
      </c>
      <c r="E36">
        <v>2</v>
      </c>
      <c r="F36" s="5" t="s">
        <v>12</v>
      </c>
      <c r="G36" s="5" t="s">
        <v>38</v>
      </c>
      <c r="H36" s="5" t="s">
        <v>29</v>
      </c>
      <c r="I36" s="1">
        <v>46145</v>
      </c>
      <c r="J36" t="str">
        <f t="shared" si="1"/>
        <v>Negaitive</v>
      </c>
      <c r="K36">
        <f t="shared" si="2"/>
        <v>2026</v>
      </c>
    </row>
    <row r="37" spans="1:11" x14ac:dyDescent="0.35">
      <c r="A37" t="s">
        <v>89</v>
      </c>
      <c r="B37" s="5" t="s">
        <v>59</v>
      </c>
      <c r="C37">
        <v>33</v>
      </c>
      <c r="D37" s="5" t="s">
        <v>23</v>
      </c>
      <c r="E37">
        <v>1</v>
      </c>
      <c r="F37" s="5" t="s">
        <v>18</v>
      </c>
      <c r="G37" s="5" t="s">
        <v>13</v>
      </c>
      <c r="H37" s="5" t="s">
        <v>29</v>
      </c>
      <c r="I37" s="1">
        <v>46096</v>
      </c>
      <c r="J37" t="str">
        <f t="shared" si="1"/>
        <v>Negaitive</v>
      </c>
      <c r="K37">
        <f t="shared" si="2"/>
        <v>2026</v>
      </c>
    </row>
    <row r="38" spans="1:11" x14ac:dyDescent="0.35">
      <c r="A38" t="s">
        <v>90</v>
      </c>
      <c r="B38" s="5" t="s">
        <v>91</v>
      </c>
      <c r="C38">
        <v>35</v>
      </c>
      <c r="D38" s="5" t="s">
        <v>11</v>
      </c>
      <c r="E38">
        <v>2</v>
      </c>
      <c r="F38" s="5" t="s">
        <v>24</v>
      </c>
      <c r="G38" s="5" t="s">
        <v>33</v>
      </c>
      <c r="H38" s="5" t="s">
        <v>20</v>
      </c>
      <c r="I38" s="1">
        <v>46014</v>
      </c>
      <c r="J38" t="str">
        <f t="shared" si="1"/>
        <v>Negaitive</v>
      </c>
      <c r="K38">
        <f t="shared" si="2"/>
        <v>2025</v>
      </c>
    </row>
    <row r="39" spans="1:11" x14ac:dyDescent="0.35">
      <c r="A39" t="s">
        <v>92</v>
      </c>
      <c r="B39" s="5" t="s">
        <v>35</v>
      </c>
      <c r="C39">
        <v>42</v>
      </c>
      <c r="D39" s="5" t="s">
        <v>44</v>
      </c>
      <c r="E39">
        <v>1</v>
      </c>
      <c r="F39" s="5" t="s">
        <v>62</v>
      </c>
      <c r="G39" s="5" t="s">
        <v>51</v>
      </c>
      <c r="H39" s="5" t="s">
        <v>29</v>
      </c>
      <c r="I39" s="1">
        <v>46054</v>
      </c>
      <c r="J39" t="str">
        <f t="shared" si="1"/>
        <v>Negaitive</v>
      </c>
      <c r="K39">
        <f t="shared" si="2"/>
        <v>2026</v>
      </c>
    </row>
    <row r="40" spans="1:11" x14ac:dyDescent="0.35">
      <c r="A40" t="s">
        <v>93</v>
      </c>
      <c r="B40" s="5" t="s">
        <v>16</v>
      </c>
      <c r="C40">
        <v>20</v>
      </c>
      <c r="D40" s="5" t="s">
        <v>50</v>
      </c>
      <c r="E40">
        <v>3</v>
      </c>
      <c r="F40" s="5" t="s">
        <v>62</v>
      </c>
      <c r="G40" s="5" t="s">
        <v>51</v>
      </c>
      <c r="H40" s="5" t="s">
        <v>29</v>
      </c>
      <c r="I40" s="1">
        <v>46156</v>
      </c>
      <c r="J40" t="str">
        <f t="shared" si="1"/>
        <v>Neutal</v>
      </c>
      <c r="K40">
        <f t="shared" si="2"/>
        <v>2026</v>
      </c>
    </row>
    <row r="41" spans="1:11" x14ac:dyDescent="0.35">
      <c r="A41" t="s">
        <v>94</v>
      </c>
      <c r="B41" s="5" t="s">
        <v>66</v>
      </c>
      <c r="C41">
        <v>46</v>
      </c>
      <c r="D41" s="5" t="s">
        <v>40</v>
      </c>
      <c r="E41">
        <v>3</v>
      </c>
      <c r="F41" s="5" t="s">
        <v>24</v>
      </c>
      <c r="G41" s="5" t="s">
        <v>38</v>
      </c>
      <c r="H41" s="5" t="s">
        <v>20</v>
      </c>
      <c r="I41" s="1">
        <v>46013</v>
      </c>
      <c r="J41" t="str">
        <f t="shared" si="1"/>
        <v>Neutal</v>
      </c>
      <c r="K41">
        <f t="shared" si="2"/>
        <v>2025</v>
      </c>
    </row>
    <row r="42" spans="1:11" x14ac:dyDescent="0.35">
      <c r="A42" t="s">
        <v>95</v>
      </c>
      <c r="B42" s="5" t="s">
        <v>96</v>
      </c>
      <c r="C42">
        <v>39</v>
      </c>
      <c r="D42" s="5" t="s">
        <v>11</v>
      </c>
      <c r="E42">
        <v>2</v>
      </c>
      <c r="F42" s="5" t="s">
        <v>84</v>
      </c>
      <c r="G42" s="5" t="s">
        <v>33</v>
      </c>
      <c r="H42" s="5" t="s">
        <v>26</v>
      </c>
      <c r="I42" s="1">
        <v>46112</v>
      </c>
      <c r="J42" t="str">
        <f t="shared" si="1"/>
        <v>Negaitive</v>
      </c>
      <c r="K42">
        <f t="shared" si="2"/>
        <v>2026</v>
      </c>
    </row>
    <row r="43" spans="1:11" x14ac:dyDescent="0.35">
      <c r="A43" t="s">
        <v>97</v>
      </c>
      <c r="B43" s="5" t="s">
        <v>96</v>
      </c>
      <c r="C43">
        <v>56</v>
      </c>
      <c r="D43" s="5" t="s">
        <v>40</v>
      </c>
      <c r="E43">
        <v>4</v>
      </c>
      <c r="F43" s="5" t="s">
        <v>62</v>
      </c>
      <c r="G43" s="5" t="s">
        <v>19</v>
      </c>
      <c r="H43" s="5" t="s">
        <v>20</v>
      </c>
      <c r="I43" s="1">
        <v>45989</v>
      </c>
      <c r="J43" t="str">
        <f t="shared" si="1"/>
        <v>Positive</v>
      </c>
      <c r="K43">
        <f t="shared" si="2"/>
        <v>2025</v>
      </c>
    </row>
    <row r="44" spans="1:11" x14ac:dyDescent="0.35">
      <c r="A44" t="s">
        <v>98</v>
      </c>
      <c r="B44" s="5" t="s">
        <v>31</v>
      </c>
      <c r="C44">
        <v>20</v>
      </c>
      <c r="D44" s="5" t="s">
        <v>32</v>
      </c>
      <c r="E44">
        <v>1</v>
      </c>
      <c r="F44" s="5" t="s">
        <v>45</v>
      </c>
      <c r="G44" s="5" t="s">
        <v>25</v>
      </c>
      <c r="H44" s="5" t="s">
        <v>26</v>
      </c>
      <c r="I44" s="1">
        <v>46053</v>
      </c>
      <c r="J44" t="str">
        <f t="shared" si="1"/>
        <v>Negaitive</v>
      </c>
      <c r="K44">
        <f t="shared" si="2"/>
        <v>2026</v>
      </c>
    </row>
    <row r="45" spans="1:11" x14ac:dyDescent="0.35">
      <c r="A45" t="s">
        <v>99</v>
      </c>
      <c r="B45" s="5" t="s">
        <v>56</v>
      </c>
      <c r="C45">
        <v>28</v>
      </c>
      <c r="D45" s="5" t="s">
        <v>40</v>
      </c>
      <c r="E45">
        <v>3</v>
      </c>
      <c r="F45" s="5" t="s">
        <v>37</v>
      </c>
      <c r="G45" s="5" t="s">
        <v>51</v>
      </c>
      <c r="H45" s="5" t="s">
        <v>42</v>
      </c>
      <c r="I45" s="1">
        <v>46014</v>
      </c>
      <c r="J45" t="str">
        <f t="shared" si="1"/>
        <v>Neutal</v>
      </c>
      <c r="K45">
        <f t="shared" si="2"/>
        <v>2025</v>
      </c>
    </row>
    <row r="46" spans="1:11" x14ac:dyDescent="0.35">
      <c r="A46" t="s">
        <v>100</v>
      </c>
      <c r="B46" s="5" t="s">
        <v>59</v>
      </c>
      <c r="C46">
        <v>51</v>
      </c>
      <c r="D46" s="5" t="s">
        <v>40</v>
      </c>
      <c r="E46">
        <v>2</v>
      </c>
      <c r="F46" s="5" t="s">
        <v>18</v>
      </c>
      <c r="G46" s="5" t="s">
        <v>33</v>
      </c>
      <c r="H46" s="5" t="s">
        <v>20</v>
      </c>
      <c r="I46" s="1">
        <v>46061</v>
      </c>
      <c r="J46" t="str">
        <f t="shared" si="1"/>
        <v>Negaitive</v>
      </c>
      <c r="K46">
        <f t="shared" si="2"/>
        <v>2026</v>
      </c>
    </row>
    <row r="47" spans="1:11" x14ac:dyDescent="0.35">
      <c r="A47" t="s">
        <v>101</v>
      </c>
      <c r="B47" s="5" t="s">
        <v>31</v>
      </c>
      <c r="C47">
        <v>24</v>
      </c>
      <c r="D47" s="5" t="s">
        <v>11</v>
      </c>
      <c r="E47">
        <v>5</v>
      </c>
      <c r="F47" s="5" t="s">
        <v>84</v>
      </c>
      <c r="G47" s="5" t="s">
        <v>51</v>
      </c>
      <c r="H47" s="5" t="s">
        <v>20</v>
      </c>
      <c r="I47" s="1">
        <v>46043</v>
      </c>
      <c r="J47" t="str">
        <f t="shared" si="1"/>
        <v>Positive</v>
      </c>
      <c r="K47">
        <f t="shared" si="2"/>
        <v>2026</v>
      </c>
    </row>
    <row r="48" spans="1:11" x14ac:dyDescent="0.35">
      <c r="A48" t="s">
        <v>102</v>
      </c>
      <c r="B48" s="5" t="s">
        <v>73</v>
      </c>
      <c r="C48">
        <v>41</v>
      </c>
      <c r="D48" s="5" t="s">
        <v>23</v>
      </c>
      <c r="E48">
        <v>2</v>
      </c>
      <c r="F48" s="5" t="s">
        <v>12</v>
      </c>
      <c r="G48" s="5" t="s">
        <v>33</v>
      </c>
      <c r="H48" s="5" t="s">
        <v>14</v>
      </c>
      <c r="I48" s="1">
        <v>46135</v>
      </c>
      <c r="J48" t="str">
        <f t="shared" si="1"/>
        <v>Negaitive</v>
      </c>
      <c r="K48">
        <f t="shared" si="2"/>
        <v>2026</v>
      </c>
    </row>
    <row r="49" spans="1:11" x14ac:dyDescent="0.35">
      <c r="A49" t="s">
        <v>103</v>
      </c>
      <c r="B49" s="5" t="s">
        <v>66</v>
      </c>
      <c r="C49">
        <v>19</v>
      </c>
      <c r="D49" s="5" t="s">
        <v>11</v>
      </c>
      <c r="E49">
        <v>1</v>
      </c>
      <c r="F49" s="5" t="s">
        <v>18</v>
      </c>
      <c r="G49" s="5" t="s">
        <v>33</v>
      </c>
      <c r="H49" s="5" t="s">
        <v>20</v>
      </c>
      <c r="I49" s="1">
        <v>46106</v>
      </c>
      <c r="J49" t="str">
        <f t="shared" si="1"/>
        <v>Negaitive</v>
      </c>
      <c r="K49">
        <f t="shared" si="2"/>
        <v>2026</v>
      </c>
    </row>
    <row r="50" spans="1:11" x14ac:dyDescent="0.35">
      <c r="A50" t="s">
        <v>104</v>
      </c>
      <c r="B50" s="5" t="s">
        <v>73</v>
      </c>
      <c r="C50">
        <v>48</v>
      </c>
      <c r="D50" s="5" t="s">
        <v>32</v>
      </c>
      <c r="E50">
        <v>2</v>
      </c>
      <c r="F50" s="5" t="s">
        <v>37</v>
      </c>
      <c r="G50" s="5" t="s">
        <v>19</v>
      </c>
      <c r="H50" s="5" t="s">
        <v>14</v>
      </c>
      <c r="I50" s="1">
        <v>46088</v>
      </c>
      <c r="J50" t="str">
        <f t="shared" si="1"/>
        <v>Negaitive</v>
      </c>
      <c r="K50">
        <f t="shared" si="2"/>
        <v>2026</v>
      </c>
    </row>
    <row r="51" spans="1:11" x14ac:dyDescent="0.35">
      <c r="A51" t="s">
        <v>105</v>
      </c>
      <c r="B51" s="5" t="s">
        <v>75</v>
      </c>
      <c r="C51">
        <v>26</v>
      </c>
      <c r="D51" s="5" t="s">
        <v>36</v>
      </c>
      <c r="E51">
        <v>1</v>
      </c>
      <c r="F51" s="5" t="s">
        <v>64</v>
      </c>
      <c r="G51" s="5" t="s">
        <v>51</v>
      </c>
      <c r="H51" s="5" t="s">
        <v>42</v>
      </c>
      <c r="I51" s="1">
        <v>46033</v>
      </c>
      <c r="J51" t="str">
        <f t="shared" si="1"/>
        <v>Negaitive</v>
      </c>
      <c r="K51">
        <f t="shared" si="2"/>
        <v>2026</v>
      </c>
    </row>
    <row r="52" spans="1:11" x14ac:dyDescent="0.35">
      <c r="A52" t="s">
        <v>106</v>
      </c>
      <c r="B52" s="5" t="s">
        <v>75</v>
      </c>
      <c r="C52">
        <v>52</v>
      </c>
      <c r="D52" s="5" t="s">
        <v>17</v>
      </c>
      <c r="E52">
        <v>3</v>
      </c>
      <c r="F52" s="5" t="s">
        <v>24</v>
      </c>
      <c r="G52" s="5" t="s">
        <v>33</v>
      </c>
      <c r="H52" s="5" t="s">
        <v>14</v>
      </c>
      <c r="I52" s="1">
        <v>46132</v>
      </c>
      <c r="J52" t="str">
        <f t="shared" si="1"/>
        <v>Neutal</v>
      </c>
      <c r="K52">
        <f t="shared" si="2"/>
        <v>2026</v>
      </c>
    </row>
    <row r="53" spans="1:11" x14ac:dyDescent="0.35">
      <c r="A53" t="s">
        <v>107</v>
      </c>
      <c r="B53" s="5" t="s">
        <v>22</v>
      </c>
      <c r="C53">
        <v>38</v>
      </c>
      <c r="D53" s="5" t="s">
        <v>23</v>
      </c>
      <c r="E53">
        <v>3</v>
      </c>
      <c r="F53" s="5" t="s">
        <v>57</v>
      </c>
      <c r="G53" s="5" t="s">
        <v>33</v>
      </c>
      <c r="H53" s="5" t="s">
        <v>26</v>
      </c>
      <c r="I53" s="1">
        <v>46082</v>
      </c>
      <c r="J53" t="str">
        <f t="shared" si="1"/>
        <v>Neutal</v>
      </c>
      <c r="K53">
        <f t="shared" si="2"/>
        <v>2026</v>
      </c>
    </row>
    <row r="54" spans="1:11" x14ac:dyDescent="0.35">
      <c r="A54" t="s">
        <v>108</v>
      </c>
      <c r="B54" s="5" t="s">
        <v>28</v>
      </c>
      <c r="C54">
        <v>51</v>
      </c>
      <c r="D54" s="5" t="s">
        <v>50</v>
      </c>
      <c r="E54">
        <v>4</v>
      </c>
      <c r="F54" s="5" t="s">
        <v>84</v>
      </c>
      <c r="G54" s="5" t="s">
        <v>51</v>
      </c>
      <c r="H54" s="5" t="s">
        <v>20</v>
      </c>
      <c r="I54" s="1">
        <v>46000</v>
      </c>
      <c r="J54" t="str">
        <f t="shared" si="1"/>
        <v>Positive</v>
      </c>
      <c r="K54">
        <f t="shared" si="2"/>
        <v>2025</v>
      </c>
    </row>
    <row r="55" spans="1:11" x14ac:dyDescent="0.35">
      <c r="A55" t="s">
        <v>109</v>
      </c>
      <c r="B55" s="5" t="s">
        <v>47</v>
      </c>
      <c r="C55">
        <v>23</v>
      </c>
      <c r="D55" s="5" t="s">
        <v>23</v>
      </c>
      <c r="E55">
        <v>1</v>
      </c>
      <c r="F55" s="5" t="s">
        <v>18</v>
      </c>
      <c r="G55" s="5" t="s">
        <v>13</v>
      </c>
      <c r="H55" s="5" t="s">
        <v>29</v>
      </c>
      <c r="I55" s="1">
        <v>46120</v>
      </c>
      <c r="J55" t="str">
        <f t="shared" si="1"/>
        <v>Negaitive</v>
      </c>
      <c r="K55">
        <f t="shared" si="2"/>
        <v>2026</v>
      </c>
    </row>
    <row r="56" spans="1:11" x14ac:dyDescent="0.35">
      <c r="A56" t="s">
        <v>110</v>
      </c>
      <c r="B56" s="5" t="s">
        <v>28</v>
      </c>
      <c r="C56">
        <v>51</v>
      </c>
      <c r="D56" s="5" t="s">
        <v>50</v>
      </c>
      <c r="E56">
        <v>3</v>
      </c>
      <c r="F56" s="5" t="s">
        <v>12</v>
      </c>
      <c r="G56" s="5" t="s">
        <v>19</v>
      </c>
      <c r="H56" s="5" t="s">
        <v>42</v>
      </c>
      <c r="I56" s="1">
        <v>46008</v>
      </c>
      <c r="J56" t="str">
        <f t="shared" si="1"/>
        <v>Neutal</v>
      </c>
      <c r="K56">
        <f t="shared" si="2"/>
        <v>2025</v>
      </c>
    </row>
    <row r="57" spans="1:11" x14ac:dyDescent="0.35">
      <c r="A57" t="s">
        <v>111</v>
      </c>
      <c r="B57" s="5" t="s">
        <v>22</v>
      </c>
      <c r="C57">
        <v>42</v>
      </c>
      <c r="D57" s="5" t="s">
        <v>23</v>
      </c>
      <c r="E57">
        <v>1</v>
      </c>
      <c r="F57" s="5" t="s">
        <v>45</v>
      </c>
      <c r="G57" s="5" t="s">
        <v>33</v>
      </c>
      <c r="H57" s="5" t="s">
        <v>29</v>
      </c>
      <c r="I57" s="1">
        <v>45986</v>
      </c>
      <c r="J57" t="str">
        <f t="shared" si="1"/>
        <v>Negaitive</v>
      </c>
      <c r="K57">
        <f t="shared" si="2"/>
        <v>2025</v>
      </c>
    </row>
    <row r="58" spans="1:11" x14ac:dyDescent="0.35">
      <c r="A58" t="s">
        <v>112</v>
      </c>
      <c r="B58" s="5" t="s">
        <v>113</v>
      </c>
      <c r="C58">
        <v>46</v>
      </c>
      <c r="D58" s="5" t="s">
        <v>23</v>
      </c>
      <c r="E58">
        <v>2</v>
      </c>
      <c r="F58" s="5" t="s">
        <v>57</v>
      </c>
      <c r="G58" s="5" t="s">
        <v>33</v>
      </c>
      <c r="H58" s="5" t="s">
        <v>26</v>
      </c>
      <c r="I58" s="1">
        <v>46010</v>
      </c>
      <c r="J58" t="str">
        <f t="shared" si="1"/>
        <v>Negaitive</v>
      </c>
      <c r="K58">
        <f t="shared" si="2"/>
        <v>2025</v>
      </c>
    </row>
    <row r="59" spans="1:11" x14ac:dyDescent="0.35">
      <c r="A59" t="s">
        <v>114</v>
      </c>
      <c r="B59" s="5" t="s">
        <v>49</v>
      </c>
      <c r="C59">
        <v>51</v>
      </c>
      <c r="D59" s="5" t="s">
        <v>50</v>
      </c>
      <c r="E59">
        <v>5</v>
      </c>
      <c r="F59" s="5" t="s">
        <v>18</v>
      </c>
      <c r="G59" s="5" t="s">
        <v>33</v>
      </c>
      <c r="H59" s="5" t="s">
        <v>20</v>
      </c>
      <c r="I59" s="1">
        <v>46147</v>
      </c>
      <c r="J59" t="str">
        <f t="shared" si="1"/>
        <v>Positive</v>
      </c>
      <c r="K59">
        <f t="shared" si="2"/>
        <v>2026</v>
      </c>
    </row>
    <row r="60" spans="1:11" x14ac:dyDescent="0.35">
      <c r="A60" t="s">
        <v>115</v>
      </c>
      <c r="B60" s="5" t="s">
        <v>96</v>
      </c>
      <c r="C60">
        <v>39</v>
      </c>
      <c r="D60" s="5" t="s">
        <v>23</v>
      </c>
      <c r="E60">
        <v>1</v>
      </c>
      <c r="F60" s="5" t="s">
        <v>62</v>
      </c>
      <c r="G60" s="5" t="s">
        <v>25</v>
      </c>
      <c r="H60" s="5" t="s">
        <v>14</v>
      </c>
      <c r="I60" s="1">
        <v>46036</v>
      </c>
      <c r="J60" t="str">
        <f t="shared" si="1"/>
        <v>Negaitive</v>
      </c>
      <c r="K60">
        <f t="shared" si="2"/>
        <v>2026</v>
      </c>
    </row>
    <row r="61" spans="1:11" x14ac:dyDescent="0.35">
      <c r="A61" t="s">
        <v>116</v>
      </c>
      <c r="B61" s="5" t="s">
        <v>22</v>
      </c>
      <c r="C61">
        <v>52</v>
      </c>
      <c r="D61" s="5" t="s">
        <v>32</v>
      </c>
      <c r="E61">
        <v>3</v>
      </c>
      <c r="F61" s="5" t="s">
        <v>84</v>
      </c>
      <c r="G61" s="5" t="s">
        <v>51</v>
      </c>
      <c r="H61" s="5" t="s">
        <v>14</v>
      </c>
      <c r="I61" s="1">
        <v>46030</v>
      </c>
      <c r="J61" t="str">
        <f t="shared" si="1"/>
        <v>Neutal</v>
      </c>
      <c r="K61">
        <f t="shared" si="2"/>
        <v>2026</v>
      </c>
    </row>
    <row r="62" spans="1:11" x14ac:dyDescent="0.35">
      <c r="A62" t="s">
        <v>117</v>
      </c>
      <c r="B62" s="5" t="s">
        <v>22</v>
      </c>
      <c r="C62">
        <v>51</v>
      </c>
      <c r="D62" s="5" t="s">
        <v>11</v>
      </c>
      <c r="E62">
        <v>4</v>
      </c>
      <c r="F62" s="5" t="s">
        <v>18</v>
      </c>
      <c r="G62" s="5" t="s">
        <v>25</v>
      </c>
      <c r="H62" s="5" t="s">
        <v>29</v>
      </c>
      <c r="I62" s="1">
        <v>45999</v>
      </c>
      <c r="J62" t="str">
        <f t="shared" si="1"/>
        <v>Positive</v>
      </c>
      <c r="K62">
        <f t="shared" si="2"/>
        <v>2025</v>
      </c>
    </row>
    <row r="63" spans="1:11" x14ac:dyDescent="0.35">
      <c r="A63" t="s">
        <v>118</v>
      </c>
      <c r="B63" s="5" t="s">
        <v>96</v>
      </c>
      <c r="C63">
        <v>40</v>
      </c>
      <c r="D63" s="5" t="s">
        <v>32</v>
      </c>
      <c r="E63">
        <v>3</v>
      </c>
      <c r="F63" s="5" t="s">
        <v>84</v>
      </c>
      <c r="G63" s="5" t="s">
        <v>25</v>
      </c>
      <c r="H63" s="5" t="s">
        <v>26</v>
      </c>
      <c r="I63" s="1">
        <v>46042</v>
      </c>
      <c r="J63" t="str">
        <f t="shared" si="1"/>
        <v>Neutal</v>
      </c>
      <c r="K63">
        <f t="shared" si="2"/>
        <v>2026</v>
      </c>
    </row>
    <row r="64" spans="1:11" x14ac:dyDescent="0.35">
      <c r="A64" t="s">
        <v>119</v>
      </c>
      <c r="B64" s="5" t="s">
        <v>53</v>
      </c>
      <c r="C64">
        <v>18</v>
      </c>
      <c r="D64" s="5" t="s">
        <v>40</v>
      </c>
      <c r="E64">
        <v>1</v>
      </c>
      <c r="F64" s="5" t="s">
        <v>64</v>
      </c>
      <c r="G64" s="5" t="s">
        <v>25</v>
      </c>
      <c r="H64" s="5" t="s">
        <v>20</v>
      </c>
      <c r="I64" s="1">
        <v>46118</v>
      </c>
      <c r="J64" t="str">
        <f t="shared" si="1"/>
        <v>Negaitive</v>
      </c>
      <c r="K64">
        <f t="shared" si="2"/>
        <v>2026</v>
      </c>
    </row>
    <row r="65" spans="1:11" x14ac:dyDescent="0.35">
      <c r="A65" t="s">
        <v>120</v>
      </c>
      <c r="B65" s="5" t="s">
        <v>16</v>
      </c>
      <c r="C65">
        <v>23</v>
      </c>
      <c r="D65" s="5" t="s">
        <v>36</v>
      </c>
      <c r="E65">
        <v>3</v>
      </c>
      <c r="F65" s="5" t="s">
        <v>64</v>
      </c>
      <c r="G65" s="5" t="s">
        <v>13</v>
      </c>
      <c r="H65" s="5" t="s">
        <v>14</v>
      </c>
      <c r="I65" s="1">
        <v>46134</v>
      </c>
      <c r="J65" t="str">
        <f t="shared" si="1"/>
        <v>Neutal</v>
      </c>
      <c r="K65">
        <f t="shared" si="2"/>
        <v>2026</v>
      </c>
    </row>
    <row r="66" spans="1:11" x14ac:dyDescent="0.35">
      <c r="A66" t="s">
        <v>121</v>
      </c>
      <c r="B66" s="5" t="s">
        <v>91</v>
      </c>
      <c r="C66">
        <v>26</v>
      </c>
      <c r="D66" s="5" t="s">
        <v>17</v>
      </c>
      <c r="E66">
        <v>5</v>
      </c>
      <c r="F66" s="5" t="s">
        <v>37</v>
      </c>
      <c r="G66" s="5" t="s">
        <v>19</v>
      </c>
      <c r="H66" s="5" t="s">
        <v>29</v>
      </c>
      <c r="I66" s="1">
        <v>46101</v>
      </c>
      <c r="J66" t="str">
        <f t="shared" si="1"/>
        <v>Positive</v>
      </c>
      <c r="K66">
        <f t="shared" ref="K66:K97" si="3">YEAR(I66)</f>
        <v>2026</v>
      </c>
    </row>
    <row r="67" spans="1:11" x14ac:dyDescent="0.35">
      <c r="A67" t="s">
        <v>122</v>
      </c>
      <c r="B67" s="5" t="s">
        <v>59</v>
      </c>
      <c r="C67">
        <v>41</v>
      </c>
      <c r="D67" s="5" t="s">
        <v>40</v>
      </c>
      <c r="E67">
        <v>4</v>
      </c>
      <c r="F67" s="5" t="s">
        <v>45</v>
      </c>
      <c r="G67" s="5" t="s">
        <v>33</v>
      </c>
      <c r="H67" s="5" t="s">
        <v>42</v>
      </c>
      <c r="I67" s="1">
        <v>46031</v>
      </c>
      <c r="J67" t="str">
        <f t="shared" ref="J67:J130" si="4">IF(E67&gt;=4,"Positive",IF(E67=3,"Neutal","Negaitive"))</f>
        <v>Positive</v>
      </c>
      <c r="K67">
        <f t="shared" si="3"/>
        <v>2026</v>
      </c>
    </row>
    <row r="68" spans="1:11" x14ac:dyDescent="0.35">
      <c r="A68" t="s">
        <v>123</v>
      </c>
      <c r="B68" s="5" t="s">
        <v>10</v>
      </c>
      <c r="C68">
        <v>46</v>
      </c>
      <c r="D68" s="5" t="s">
        <v>11</v>
      </c>
      <c r="E68">
        <v>1</v>
      </c>
      <c r="F68" s="5" t="s">
        <v>84</v>
      </c>
      <c r="G68" s="5" t="s">
        <v>38</v>
      </c>
      <c r="H68" s="5" t="s">
        <v>20</v>
      </c>
      <c r="I68" s="1">
        <v>46022</v>
      </c>
      <c r="J68" t="str">
        <f t="shared" si="4"/>
        <v>Negaitive</v>
      </c>
      <c r="K68">
        <f t="shared" si="3"/>
        <v>2025</v>
      </c>
    </row>
    <row r="69" spans="1:11" x14ac:dyDescent="0.35">
      <c r="A69" t="s">
        <v>124</v>
      </c>
      <c r="B69" s="5" t="s">
        <v>91</v>
      </c>
      <c r="C69">
        <v>40</v>
      </c>
      <c r="D69" s="5" t="s">
        <v>23</v>
      </c>
      <c r="E69">
        <v>5</v>
      </c>
      <c r="F69" s="5" t="s">
        <v>62</v>
      </c>
      <c r="G69" s="5" t="s">
        <v>51</v>
      </c>
      <c r="H69" s="5" t="s">
        <v>29</v>
      </c>
      <c r="I69" s="1">
        <v>46107</v>
      </c>
      <c r="J69" t="str">
        <f t="shared" si="4"/>
        <v>Positive</v>
      </c>
      <c r="K69">
        <f t="shared" si="3"/>
        <v>2026</v>
      </c>
    </row>
    <row r="70" spans="1:11" x14ac:dyDescent="0.35">
      <c r="A70" t="s">
        <v>125</v>
      </c>
      <c r="B70" s="5" t="s">
        <v>71</v>
      </c>
      <c r="C70">
        <v>42</v>
      </c>
      <c r="D70" s="5" t="s">
        <v>23</v>
      </c>
      <c r="E70">
        <v>5</v>
      </c>
      <c r="F70" s="5" t="s">
        <v>37</v>
      </c>
      <c r="G70" s="5" t="s">
        <v>33</v>
      </c>
      <c r="H70" s="5" t="s">
        <v>26</v>
      </c>
      <c r="I70" s="1">
        <v>46046</v>
      </c>
      <c r="J70" t="str">
        <f t="shared" si="4"/>
        <v>Positive</v>
      </c>
      <c r="K70">
        <f t="shared" si="3"/>
        <v>2026</v>
      </c>
    </row>
    <row r="71" spans="1:11" x14ac:dyDescent="0.35">
      <c r="A71" t="s">
        <v>126</v>
      </c>
      <c r="B71" s="5" t="s">
        <v>59</v>
      </c>
      <c r="C71">
        <v>42</v>
      </c>
      <c r="D71" s="5" t="s">
        <v>50</v>
      </c>
      <c r="E71">
        <v>1</v>
      </c>
      <c r="F71" s="5" t="s">
        <v>18</v>
      </c>
      <c r="G71" s="5" t="s">
        <v>51</v>
      </c>
      <c r="H71" s="5" t="s">
        <v>42</v>
      </c>
      <c r="I71" s="1">
        <v>46143</v>
      </c>
      <c r="J71" t="str">
        <f t="shared" si="4"/>
        <v>Negaitive</v>
      </c>
      <c r="K71">
        <f t="shared" si="3"/>
        <v>2026</v>
      </c>
    </row>
    <row r="72" spans="1:11" x14ac:dyDescent="0.35">
      <c r="A72" t="s">
        <v>127</v>
      </c>
      <c r="B72" s="5" t="s">
        <v>59</v>
      </c>
      <c r="C72">
        <v>46</v>
      </c>
      <c r="D72" s="5" t="s">
        <v>50</v>
      </c>
      <c r="E72">
        <v>1</v>
      </c>
      <c r="F72" s="5" t="s">
        <v>12</v>
      </c>
      <c r="G72" s="5" t="s">
        <v>33</v>
      </c>
      <c r="H72" s="5" t="s">
        <v>14</v>
      </c>
      <c r="I72" s="1">
        <v>46035</v>
      </c>
      <c r="J72" t="str">
        <f t="shared" si="4"/>
        <v>Negaitive</v>
      </c>
      <c r="K72">
        <f t="shared" si="3"/>
        <v>2026</v>
      </c>
    </row>
    <row r="73" spans="1:11" x14ac:dyDescent="0.35">
      <c r="A73" t="s">
        <v>128</v>
      </c>
      <c r="B73" s="5" t="s">
        <v>53</v>
      </c>
      <c r="C73">
        <v>55</v>
      </c>
      <c r="D73" s="5" t="s">
        <v>44</v>
      </c>
      <c r="E73">
        <v>3</v>
      </c>
      <c r="F73" s="5" t="s">
        <v>37</v>
      </c>
      <c r="G73" s="5" t="s">
        <v>13</v>
      </c>
      <c r="H73" s="5" t="s">
        <v>42</v>
      </c>
      <c r="I73" s="1">
        <v>46147</v>
      </c>
      <c r="J73" t="str">
        <f t="shared" si="4"/>
        <v>Neutal</v>
      </c>
      <c r="K73">
        <f t="shared" si="3"/>
        <v>2026</v>
      </c>
    </row>
    <row r="74" spans="1:11" x14ac:dyDescent="0.35">
      <c r="A74" t="s">
        <v>129</v>
      </c>
      <c r="B74" s="5" t="s">
        <v>59</v>
      </c>
      <c r="C74">
        <v>21</v>
      </c>
      <c r="D74" s="5" t="s">
        <v>32</v>
      </c>
      <c r="E74">
        <v>1</v>
      </c>
      <c r="F74" s="5" t="s">
        <v>18</v>
      </c>
      <c r="G74" s="5" t="s">
        <v>13</v>
      </c>
      <c r="H74" s="5" t="s">
        <v>26</v>
      </c>
      <c r="I74" s="1">
        <v>45993</v>
      </c>
      <c r="J74" t="str">
        <f t="shared" si="4"/>
        <v>Negaitive</v>
      </c>
      <c r="K74">
        <f t="shared" si="3"/>
        <v>2025</v>
      </c>
    </row>
    <row r="75" spans="1:11" x14ac:dyDescent="0.35">
      <c r="A75" t="s">
        <v>130</v>
      </c>
      <c r="B75" s="5" t="s">
        <v>49</v>
      </c>
      <c r="C75">
        <v>39</v>
      </c>
      <c r="D75" s="5" t="s">
        <v>40</v>
      </c>
      <c r="E75">
        <v>4</v>
      </c>
      <c r="F75" s="5" t="s">
        <v>12</v>
      </c>
      <c r="G75" s="5" t="s">
        <v>51</v>
      </c>
      <c r="H75" s="5" t="s">
        <v>26</v>
      </c>
      <c r="I75" s="1">
        <v>46112</v>
      </c>
      <c r="J75" t="str">
        <f t="shared" si="4"/>
        <v>Positive</v>
      </c>
      <c r="K75">
        <f t="shared" si="3"/>
        <v>2026</v>
      </c>
    </row>
    <row r="76" spans="1:11" x14ac:dyDescent="0.35">
      <c r="A76" t="s">
        <v>131</v>
      </c>
      <c r="B76" s="5" t="s">
        <v>56</v>
      </c>
      <c r="C76">
        <v>45</v>
      </c>
      <c r="D76" s="5" t="s">
        <v>44</v>
      </c>
      <c r="E76">
        <v>4</v>
      </c>
      <c r="F76" s="5" t="s">
        <v>12</v>
      </c>
      <c r="G76" s="5" t="s">
        <v>51</v>
      </c>
      <c r="H76" s="5" t="s">
        <v>26</v>
      </c>
      <c r="I76" s="1">
        <v>46070</v>
      </c>
      <c r="J76" t="str">
        <f t="shared" si="4"/>
        <v>Positive</v>
      </c>
      <c r="K76">
        <f t="shared" si="3"/>
        <v>2026</v>
      </c>
    </row>
    <row r="77" spans="1:11" x14ac:dyDescent="0.35">
      <c r="A77" t="s">
        <v>132</v>
      </c>
      <c r="B77" s="5" t="s">
        <v>73</v>
      </c>
      <c r="C77">
        <v>47</v>
      </c>
      <c r="D77" s="5" t="s">
        <v>23</v>
      </c>
      <c r="E77">
        <v>5</v>
      </c>
      <c r="F77" s="5" t="s">
        <v>24</v>
      </c>
      <c r="G77" s="5" t="s">
        <v>38</v>
      </c>
      <c r="H77" s="5" t="s">
        <v>29</v>
      </c>
      <c r="I77" s="1">
        <v>46143</v>
      </c>
      <c r="J77" t="str">
        <f t="shared" si="4"/>
        <v>Positive</v>
      </c>
      <c r="K77">
        <f t="shared" si="3"/>
        <v>2026</v>
      </c>
    </row>
    <row r="78" spans="1:11" x14ac:dyDescent="0.35">
      <c r="A78" t="s">
        <v>133</v>
      </c>
      <c r="B78" s="5" t="s">
        <v>22</v>
      </c>
      <c r="C78">
        <v>36</v>
      </c>
      <c r="D78" s="5" t="s">
        <v>44</v>
      </c>
      <c r="E78">
        <v>1</v>
      </c>
      <c r="F78" s="5" t="s">
        <v>64</v>
      </c>
      <c r="G78" s="5" t="s">
        <v>13</v>
      </c>
      <c r="H78" s="5" t="s">
        <v>14</v>
      </c>
      <c r="I78" s="1">
        <v>46127</v>
      </c>
      <c r="J78" t="str">
        <f t="shared" si="4"/>
        <v>Negaitive</v>
      </c>
      <c r="K78">
        <f t="shared" si="3"/>
        <v>2026</v>
      </c>
    </row>
    <row r="79" spans="1:11" x14ac:dyDescent="0.35">
      <c r="A79" t="s">
        <v>134</v>
      </c>
      <c r="B79" s="5" t="s">
        <v>66</v>
      </c>
      <c r="C79">
        <v>54</v>
      </c>
      <c r="D79" s="5" t="s">
        <v>50</v>
      </c>
      <c r="E79">
        <v>2</v>
      </c>
      <c r="F79" s="5" t="s">
        <v>64</v>
      </c>
      <c r="G79" s="5" t="s">
        <v>51</v>
      </c>
      <c r="H79" s="5" t="s">
        <v>26</v>
      </c>
      <c r="I79" s="1">
        <v>46110</v>
      </c>
      <c r="J79" t="str">
        <f t="shared" si="4"/>
        <v>Negaitive</v>
      </c>
      <c r="K79">
        <f t="shared" si="3"/>
        <v>2026</v>
      </c>
    </row>
    <row r="80" spans="1:11" x14ac:dyDescent="0.35">
      <c r="A80" t="s">
        <v>135</v>
      </c>
      <c r="B80" s="5" t="s">
        <v>56</v>
      </c>
      <c r="C80">
        <v>32</v>
      </c>
      <c r="D80" s="5" t="s">
        <v>50</v>
      </c>
      <c r="E80">
        <v>1</v>
      </c>
      <c r="F80" s="5" t="s">
        <v>12</v>
      </c>
      <c r="G80" s="5" t="s">
        <v>33</v>
      </c>
      <c r="H80" s="5" t="s">
        <v>14</v>
      </c>
      <c r="I80" s="1">
        <v>46098</v>
      </c>
      <c r="J80" t="str">
        <f t="shared" si="4"/>
        <v>Negaitive</v>
      </c>
      <c r="K80">
        <f t="shared" si="3"/>
        <v>2026</v>
      </c>
    </row>
    <row r="81" spans="1:11" x14ac:dyDescent="0.35">
      <c r="A81" t="s">
        <v>136</v>
      </c>
      <c r="B81" s="5" t="s">
        <v>113</v>
      </c>
      <c r="C81">
        <v>37</v>
      </c>
      <c r="D81" s="5" t="s">
        <v>36</v>
      </c>
      <c r="E81">
        <v>5</v>
      </c>
      <c r="F81" s="5" t="s">
        <v>64</v>
      </c>
      <c r="G81" s="5" t="s">
        <v>25</v>
      </c>
      <c r="H81" s="5" t="s">
        <v>20</v>
      </c>
      <c r="I81" s="1">
        <v>46090</v>
      </c>
      <c r="J81" t="str">
        <f t="shared" si="4"/>
        <v>Positive</v>
      </c>
      <c r="K81">
        <f t="shared" si="3"/>
        <v>2026</v>
      </c>
    </row>
    <row r="82" spans="1:11" x14ac:dyDescent="0.35">
      <c r="A82" t="s">
        <v>137</v>
      </c>
      <c r="B82" s="5" t="s">
        <v>113</v>
      </c>
      <c r="C82">
        <v>21</v>
      </c>
      <c r="D82" s="5" t="s">
        <v>23</v>
      </c>
      <c r="E82">
        <v>2</v>
      </c>
      <c r="F82" s="5" t="s">
        <v>41</v>
      </c>
      <c r="G82" s="5" t="s">
        <v>19</v>
      </c>
      <c r="H82" s="5" t="s">
        <v>42</v>
      </c>
      <c r="I82" s="1">
        <v>46073</v>
      </c>
      <c r="J82" t="str">
        <f t="shared" si="4"/>
        <v>Negaitive</v>
      </c>
      <c r="K82">
        <f t="shared" si="3"/>
        <v>2026</v>
      </c>
    </row>
    <row r="83" spans="1:11" x14ac:dyDescent="0.35">
      <c r="A83" t="s">
        <v>138</v>
      </c>
      <c r="B83" s="5" t="s">
        <v>96</v>
      </c>
      <c r="C83">
        <v>19</v>
      </c>
      <c r="D83" s="5" t="s">
        <v>50</v>
      </c>
      <c r="E83">
        <v>3</v>
      </c>
      <c r="F83" s="5" t="s">
        <v>57</v>
      </c>
      <c r="G83" s="5" t="s">
        <v>19</v>
      </c>
      <c r="H83" s="5" t="s">
        <v>14</v>
      </c>
      <c r="I83" s="1">
        <v>45999</v>
      </c>
      <c r="J83" t="str">
        <f t="shared" si="4"/>
        <v>Neutal</v>
      </c>
      <c r="K83">
        <f t="shared" si="3"/>
        <v>2025</v>
      </c>
    </row>
    <row r="84" spans="1:11" x14ac:dyDescent="0.35">
      <c r="A84" t="s">
        <v>139</v>
      </c>
      <c r="B84" s="5" t="s">
        <v>59</v>
      </c>
      <c r="C84">
        <v>38</v>
      </c>
      <c r="D84" s="5" t="s">
        <v>23</v>
      </c>
      <c r="E84">
        <v>5</v>
      </c>
      <c r="F84" s="5" t="s">
        <v>41</v>
      </c>
      <c r="G84" s="5" t="s">
        <v>19</v>
      </c>
      <c r="H84" s="5" t="s">
        <v>29</v>
      </c>
      <c r="I84" s="1">
        <v>46097</v>
      </c>
      <c r="J84" t="str">
        <f t="shared" si="4"/>
        <v>Positive</v>
      </c>
      <c r="K84">
        <f t="shared" si="3"/>
        <v>2026</v>
      </c>
    </row>
    <row r="85" spans="1:11" x14ac:dyDescent="0.35">
      <c r="A85" t="s">
        <v>140</v>
      </c>
      <c r="B85" s="5" t="s">
        <v>10</v>
      </c>
      <c r="C85">
        <v>18</v>
      </c>
      <c r="D85" s="5" t="s">
        <v>11</v>
      </c>
      <c r="E85">
        <v>4</v>
      </c>
      <c r="F85" s="5" t="s">
        <v>62</v>
      </c>
      <c r="G85" s="5" t="s">
        <v>33</v>
      </c>
      <c r="H85" s="5" t="s">
        <v>42</v>
      </c>
      <c r="I85" s="1">
        <v>45998</v>
      </c>
      <c r="J85" t="str">
        <f t="shared" si="4"/>
        <v>Positive</v>
      </c>
      <c r="K85">
        <f t="shared" si="3"/>
        <v>2025</v>
      </c>
    </row>
    <row r="86" spans="1:11" x14ac:dyDescent="0.35">
      <c r="A86" t="s">
        <v>141</v>
      </c>
      <c r="B86" s="5" t="s">
        <v>75</v>
      </c>
      <c r="C86">
        <v>35</v>
      </c>
      <c r="D86" s="5" t="s">
        <v>11</v>
      </c>
      <c r="E86">
        <v>2</v>
      </c>
      <c r="F86" s="5" t="s">
        <v>41</v>
      </c>
      <c r="G86" s="5" t="s">
        <v>13</v>
      </c>
      <c r="H86" s="5" t="s">
        <v>26</v>
      </c>
      <c r="I86" s="1">
        <v>46124</v>
      </c>
      <c r="J86" t="str">
        <f t="shared" si="4"/>
        <v>Negaitive</v>
      </c>
      <c r="K86">
        <f t="shared" si="3"/>
        <v>2026</v>
      </c>
    </row>
    <row r="87" spans="1:11" x14ac:dyDescent="0.35">
      <c r="A87" t="s">
        <v>142</v>
      </c>
      <c r="B87" s="5" t="s">
        <v>96</v>
      </c>
      <c r="C87">
        <v>29</v>
      </c>
      <c r="D87" s="5" t="s">
        <v>50</v>
      </c>
      <c r="E87">
        <v>5</v>
      </c>
      <c r="F87" s="5" t="s">
        <v>41</v>
      </c>
      <c r="G87" s="5" t="s">
        <v>38</v>
      </c>
      <c r="H87" s="5" t="s">
        <v>26</v>
      </c>
      <c r="I87" s="1">
        <v>46008</v>
      </c>
      <c r="J87" t="str">
        <f t="shared" si="4"/>
        <v>Positive</v>
      </c>
      <c r="K87">
        <f t="shared" si="3"/>
        <v>2025</v>
      </c>
    </row>
    <row r="88" spans="1:11" x14ac:dyDescent="0.35">
      <c r="A88" t="s">
        <v>143</v>
      </c>
      <c r="B88" s="5" t="s">
        <v>66</v>
      </c>
      <c r="C88">
        <v>27</v>
      </c>
      <c r="D88" s="5" t="s">
        <v>23</v>
      </c>
      <c r="E88">
        <v>1</v>
      </c>
      <c r="F88" s="5" t="s">
        <v>45</v>
      </c>
      <c r="G88" s="5" t="s">
        <v>19</v>
      </c>
      <c r="H88" s="5" t="s">
        <v>29</v>
      </c>
      <c r="I88" s="1">
        <v>46093</v>
      </c>
      <c r="J88" t="str">
        <f t="shared" si="4"/>
        <v>Negaitive</v>
      </c>
      <c r="K88">
        <f t="shared" si="3"/>
        <v>2026</v>
      </c>
    </row>
    <row r="89" spans="1:11" x14ac:dyDescent="0.35">
      <c r="A89" t="s">
        <v>144</v>
      </c>
      <c r="B89" s="5" t="s">
        <v>145</v>
      </c>
      <c r="C89">
        <v>26</v>
      </c>
      <c r="D89" s="5" t="s">
        <v>44</v>
      </c>
      <c r="E89">
        <v>3</v>
      </c>
      <c r="F89" s="5" t="s">
        <v>12</v>
      </c>
      <c r="G89" s="5" t="s">
        <v>51</v>
      </c>
      <c r="H89" s="5" t="s">
        <v>42</v>
      </c>
      <c r="I89" s="1">
        <v>45988</v>
      </c>
      <c r="J89" t="str">
        <f t="shared" si="4"/>
        <v>Neutal</v>
      </c>
      <c r="K89">
        <f t="shared" si="3"/>
        <v>2025</v>
      </c>
    </row>
    <row r="90" spans="1:11" x14ac:dyDescent="0.35">
      <c r="A90" t="s">
        <v>146</v>
      </c>
      <c r="B90" s="5" t="s">
        <v>47</v>
      </c>
      <c r="C90">
        <v>40</v>
      </c>
      <c r="D90" s="5" t="s">
        <v>32</v>
      </c>
      <c r="E90">
        <v>1</v>
      </c>
      <c r="F90" s="5" t="s">
        <v>18</v>
      </c>
      <c r="G90" s="5" t="s">
        <v>38</v>
      </c>
      <c r="H90" s="5" t="s">
        <v>14</v>
      </c>
      <c r="I90" s="1">
        <v>46136</v>
      </c>
      <c r="J90" t="str">
        <f t="shared" si="4"/>
        <v>Negaitive</v>
      </c>
      <c r="K90">
        <f t="shared" si="3"/>
        <v>2026</v>
      </c>
    </row>
    <row r="91" spans="1:11" x14ac:dyDescent="0.35">
      <c r="A91" t="s">
        <v>147</v>
      </c>
      <c r="B91" s="5" t="s">
        <v>56</v>
      </c>
      <c r="C91">
        <v>40</v>
      </c>
      <c r="D91" s="5" t="s">
        <v>44</v>
      </c>
      <c r="E91">
        <v>3</v>
      </c>
      <c r="F91" s="5" t="s">
        <v>37</v>
      </c>
      <c r="G91" s="5" t="s">
        <v>19</v>
      </c>
      <c r="H91" s="5" t="s">
        <v>42</v>
      </c>
      <c r="I91" s="1">
        <v>46042</v>
      </c>
      <c r="J91" t="str">
        <f t="shared" si="4"/>
        <v>Neutal</v>
      </c>
      <c r="K91">
        <f t="shared" si="3"/>
        <v>2026</v>
      </c>
    </row>
    <row r="92" spans="1:11" x14ac:dyDescent="0.35">
      <c r="A92" t="s">
        <v>148</v>
      </c>
      <c r="B92" s="5" t="s">
        <v>47</v>
      </c>
      <c r="C92">
        <v>33</v>
      </c>
      <c r="D92" s="5" t="s">
        <v>11</v>
      </c>
      <c r="E92">
        <v>5</v>
      </c>
      <c r="F92" s="5" t="s">
        <v>24</v>
      </c>
      <c r="G92" s="5" t="s">
        <v>33</v>
      </c>
      <c r="H92" s="5" t="s">
        <v>20</v>
      </c>
      <c r="I92" s="1">
        <v>46133</v>
      </c>
      <c r="J92" t="str">
        <f t="shared" si="4"/>
        <v>Positive</v>
      </c>
      <c r="K92">
        <f t="shared" si="3"/>
        <v>2026</v>
      </c>
    </row>
    <row r="93" spans="1:11" x14ac:dyDescent="0.35">
      <c r="A93" t="s">
        <v>149</v>
      </c>
      <c r="B93" s="5" t="s">
        <v>59</v>
      </c>
      <c r="C93">
        <v>58</v>
      </c>
      <c r="D93" s="5" t="s">
        <v>11</v>
      </c>
      <c r="E93">
        <v>2</v>
      </c>
      <c r="F93" s="5" t="s">
        <v>57</v>
      </c>
      <c r="G93" s="5" t="s">
        <v>19</v>
      </c>
      <c r="H93" s="5" t="s">
        <v>42</v>
      </c>
      <c r="I93" s="1">
        <v>46023</v>
      </c>
      <c r="J93" t="str">
        <f t="shared" si="4"/>
        <v>Negaitive</v>
      </c>
      <c r="K93">
        <f t="shared" si="3"/>
        <v>2026</v>
      </c>
    </row>
    <row r="94" spans="1:11" x14ac:dyDescent="0.35">
      <c r="A94" t="s">
        <v>150</v>
      </c>
      <c r="B94" s="5" t="s">
        <v>75</v>
      </c>
      <c r="C94">
        <v>31</v>
      </c>
      <c r="D94" s="5" t="s">
        <v>44</v>
      </c>
      <c r="E94">
        <v>5</v>
      </c>
      <c r="F94" s="5" t="s">
        <v>45</v>
      </c>
      <c r="G94" s="5" t="s">
        <v>25</v>
      </c>
      <c r="H94" s="5" t="s">
        <v>42</v>
      </c>
      <c r="I94" s="1">
        <v>46040</v>
      </c>
      <c r="J94" t="str">
        <f t="shared" si="4"/>
        <v>Positive</v>
      </c>
      <c r="K94">
        <f t="shared" si="3"/>
        <v>2026</v>
      </c>
    </row>
    <row r="95" spans="1:11" x14ac:dyDescent="0.35">
      <c r="A95" t="s">
        <v>151</v>
      </c>
      <c r="B95" s="5" t="s">
        <v>16</v>
      </c>
      <c r="C95">
        <v>33</v>
      </c>
      <c r="D95" s="5" t="s">
        <v>44</v>
      </c>
      <c r="E95">
        <v>3</v>
      </c>
      <c r="F95" s="5" t="s">
        <v>84</v>
      </c>
      <c r="G95" s="5" t="s">
        <v>25</v>
      </c>
      <c r="H95" s="5" t="s">
        <v>29</v>
      </c>
      <c r="I95" s="1">
        <v>46145</v>
      </c>
      <c r="J95" t="str">
        <f t="shared" si="4"/>
        <v>Neutal</v>
      </c>
      <c r="K95">
        <f t="shared" si="3"/>
        <v>2026</v>
      </c>
    </row>
    <row r="96" spans="1:11" x14ac:dyDescent="0.35">
      <c r="A96" t="s">
        <v>152</v>
      </c>
      <c r="B96" s="5" t="s">
        <v>96</v>
      </c>
      <c r="C96">
        <v>57</v>
      </c>
      <c r="D96" s="5" t="s">
        <v>44</v>
      </c>
      <c r="E96">
        <v>1</v>
      </c>
      <c r="F96" s="5" t="s">
        <v>62</v>
      </c>
      <c r="G96" s="5" t="s">
        <v>25</v>
      </c>
      <c r="H96" s="5" t="s">
        <v>29</v>
      </c>
      <c r="I96" s="1">
        <v>46026</v>
      </c>
      <c r="J96" t="str">
        <f t="shared" si="4"/>
        <v>Negaitive</v>
      </c>
      <c r="K96">
        <f t="shared" si="3"/>
        <v>2026</v>
      </c>
    </row>
    <row r="97" spans="1:11" x14ac:dyDescent="0.35">
      <c r="A97" t="s">
        <v>153</v>
      </c>
      <c r="B97" s="5" t="s">
        <v>28</v>
      </c>
      <c r="C97">
        <v>48</v>
      </c>
      <c r="D97" s="5" t="s">
        <v>23</v>
      </c>
      <c r="E97">
        <v>4</v>
      </c>
      <c r="F97" s="5" t="s">
        <v>12</v>
      </c>
      <c r="G97" s="5" t="s">
        <v>19</v>
      </c>
      <c r="H97" s="5" t="s">
        <v>29</v>
      </c>
      <c r="I97" s="1">
        <v>46074</v>
      </c>
      <c r="J97" t="str">
        <f t="shared" si="4"/>
        <v>Positive</v>
      </c>
      <c r="K97">
        <f t="shared" si="3"/>
        <v>2026</v>
      </c>
    </row>
    <row r="98" spans="1:11" x14ac:dyDescent="0.35">
      <c r="A98" t="s">
        <v>154</v>
      </c>
      <c r="B98" s="5" t="s">
        <v>53</v>
      </c>
      <c r="C98">
        <v>32</v>
      </c>
      <c r="D98" s="5" t="s">
        <v>44</v>
      </c>
      <c r="E98">
        <v>4</v>
      </c>
      <c r="F98" s="5" t="s">
        <v>18</v>
      </c>
      <c r="G98" s="5" t="s">
        <v>51</v>
      </c>
      <c r="H98" s="5" t="s">
        <v>20</v>
      </c>
      <c r="I98" s="1">
        <v>46148</v>
      </c>
      <c r="J98" t="str">
        <f t="shared" si="4"/>
        <v>Positive</v>
      </c>
      <c r="K98">
        <f t="shared" ref="K98:K129" si="5">YEAR(I98)</f>
        <v>2026</v>
      </c>
    </row>
    <row r="99" spans="1:11" x14ac:dyDescent="0.35">
      <c r="A99" t="s">
        <v>155</v>
      </c>
      <c r="B99" s="5" t="s">
        <v>28</v>
      </c>
      <c r="C99">
        <v>22</v>
      </c>
      <c r="D99" s="5" t="s">
        <v>50</v>
      </c>
      <c r="E99">
        <v>2</v>
      </c>
      <c r="F99" s="5" t="s">
        <v>37</v>
      </c>
      <c r="G99" s="5" t="s">
        <v>33</v>
      </c>
      <c r="H99" s="5" t="s">
        <v>42</v>
      </c>
      <c r="I99" s="1">
        <v>46069</v>
      </c>
      <c r="J99" t="str">
        <f t="shared" si="4"/>
        <v>Negaitive</v>
      </c>
      <c r="K99">
        <f t="shared" si="5"/>
        <v>2026</v>
      </c>
    </row>
    <row r="100" spans="1:11" x14ac:dyDescent="0.35">
      <c r="A100" t="s">
        <v>156</v>
      </c>
      <c r="B100" s="5" t="s">
        <v>91</v>
      </c>
      <c r="C100">
        <v>42</v>
      </c>
      <c r="D100" s="5" t="s">
        <v>44</v>
      </c>
      <c r="E100">
        <v>1</v>
      </c>
      <c r="F100" s="5" t="s">
        <v>37</v>
      </c>
      <c r="G100" s="5" t="s">
        <v>51</v>
      </c>
      <c r="H100" s="5" t="s">
        <v>29</v>
      </c>
      <c r="I100" s="1">
        <v>46073</v>
      </c>
      <c r="J100" t="str">
        <f t="shared" si="4"/>
        <v>Negaitive</v>
      </c>
      <c r="K100">
        <f t="shared" si="5"/>
        <v>2026</v>
      </c>
    </row>
    <row r="101" spans="1:11" x14ac:dyDescent="0.35">
      <c r="A101" t="s">
        <v>157</v>
      </c>
      <c r="B101" s="5" t="s">
        <v>71</v>
      </c>
      <c r="C101">
        <v>23</v>
      </c>
      <c r="D101" s="5" t="s">
        <v>32</v>
      </c>
      <c r="E101">
        <v>5</v>
      </c>
      <c r="F101" s="5" t="s">
        <v>62</v>
      </c>
      <c r="G101" s="5" t="s">
        <v>33</v>
      </c>
      <c r="H101" s="5" t="s">
        <v>20</v>
      </c>
      <c r="I101" s="1">
        <v>46150</v>
      </c>
      <c r="J101" t="str">
        <f t="shared" si="4"/>
        <v>Positive</v>
      </c>
      <c r="K101">
        <f t="shared" si="5"/>
        <v>2026</v>
      </c>
    </row>
    <row r="102" spans="1:11" x14ac:dyDescent="0.35">
      <c r="A102" t="s">
        <v>158</v>
      </c>
      <c r="B102" s="5" t="s">
        <v>31</v>
      </c>
      <c r="C102">
        <v>56</v>
      </c>
      <c r="D102" s="5" t="s">
        <v>11</v>
      </c>
      <c r="E102">
        <v>5</v>
      </c>
      <c r="F102" s="5" t="s">
        <v>37</v>
      </c>
      <c r="G102" s="5" t="s">
        <v>38</v>
      </c>
      <c r="H102" s="5" t="s">
        <v>29</v>
      </c>
      <c r="I102" s="1">
        <v>46129</v>
      </c>
      <c r="J102" t="str">
        <f t="shared" si="4"/>
        <v>Positive</v>
      </c>
      <c r="K102">
        <f t="shared" si="5"/>
        <v>2026</v>
      </c>
    </row>
    <row r="103" spans="1:11" x14ac:dyDescent="0.35">
      <c r="A103" t="s">
        <v>159</v>
      </c>
      <c r="B103" s="5" t="s">
        <v>75</v>
      </c>
      <c r="C103">
        <v>53</v>
      </c>
      <c r="D103" s="5" t="s">
        <v>44</v>
      </c>
      <c r="E103">
        <v>2</v>
      </c>
      <c r="F103" s="5" t="s">
        <v>18</v>
      </c>
      <c r="G103" s="5" t="s">
        <v>38</v>
      </c>
      <c r="H103" s="5" t="s">
        <v>14</v>
      </c>
      <c r="I103" s="1">
        <v>46044</v>
      </c>
      <c r="J103" t="str">
        <f t="shared" si="4"/>
        <v>Negaitive</v>
      </c>
      <c r="K103">
        <f t="shared" si="5"/>
        <v>2026</v>
      </c>
    </row>
    <row r="104" spans="1:11" x14ac:dyDescent="0.35">
      <c r="A104" t="s">
        <v>160</v>
      </c>
      <c r="B104" s="5" t="s">
        <v>56</v>
      </c>
      <c r="C104">
        <v>23</v>
      </c>
      <c r="D104" s="5" t="s">
        <v>17</v>
      </c>
      <c r="E104">
        <v>5</v>
      </c>
      <c r="F104" s="5" t="s">
        <v>41</v>
      </c>
      <c r="G104" s="5" t="s">
        <v>25</v>
      </c>
      <c r="H104" s="5" t="s">
        <v>29</v>
      </c>
      <c r="I104" s="1">
        <v>46042</v>
      </c>
      <c r="J104" t="str">
        <f t="shared" si="4"/>
        <v>Positive</v>
      </c>
      <c r="K104">
        <f t="shared" si="5"/>
        <v>2026</v>
      </c>
    </row>
    <row r="105" spans="1:11" x14ac:dyDescent="0.35">
      <c r="A105" t="s">
        <v>161</v>
      </c>
      <c r="B105" s="5" t="s">
        <v>10</v>
      </c>
      <c r="C105">
        <v>34</v>
      </c>
      <c r="D105" s="5" t="s">
        <v>17</v>
      </c>
      <c r="E105">
        <v>4</v>
      </c>
      <c r="F105" s="5" t="s">
        <v>57</v>
      </c>
      <c r="G105" s="5" t="s">
        <v>19</v>
      </c>
      <c r="H105" s="5" t="s">
        <v>26</v>
      </c>
      <c r="I105" s="1">
        <v>46031</v>
      </c>
      <c r="J105" t="str">
        <f t="shared" si="4"/>
        <v>Positive</v>
      </c>
      <c r="K105">
        <f t="shared" si="5"/>
        <v>2026</v>
      </c>
    </row>
    <row r="106" spans="1:11" x14ac:dyDescent="0.35">
      <c r="A106" t="s">
        <v>162</v>
      </c>
      <c r="B106" s="5" t="s">
        <v>59</v>
      </c>
      <c r="C106">
        <v>31</v>
      </c>
      <c r="D106" s="5" t="s">
        <v>40</v>
      </c>
      <c r="E106">
        <v>2</v>
      </c>
      <c r="F106" s="5" t="s">
        <v>62</v>
      </c>
      <c r="G106" s="5" t="s">
        <v>38</v>
      </c>
      <c r="H106" s="5" t="s">
        <v>26</v>
      </c>
      <c r="I106" s="1">
        <v>46155</v>
      </c>
      <c r="J106" t="str">
        <f t="shared" si="4"/>
        <v>Negaitive</v>
      </c>
      <c r="K106">
        <f t="shared" si="5"/>
        <v>2026</v>
      </c>
    </row>
    <row r="107" spans="1:11" x14ac:dyDescent="0.35">
      <c r="A107" t="s">
        <v>163</v>
      </c>
      <c r="B107" s="5" t="s">
        <v>31</v>
      </c>
      <c r="C107">
        <v>59</v>
      </c>
      <c r="D107" s="5" t="s">
        <v>32</v>
      </c>
      <c r="E107">
        <v>3</v>
      </c>
      <c r="F107" s="5" t="s">
        <v>37</v>
      </c>
      <c r="G107" s="5" t="s">
        <v>33</v>
      </c>
      <c r="H107" s="5" t="s">
        <v>20</v>
      </c>
      <c r="I107" s="1">
        <v>45986</v>
      </c>
      <c r="J107" t="str">
        <f t="shared" si="4"/>
        <v>Neutal</v>
      </c>
      <c r="K107">
        <f t="shared" si="5"/>
        <v>2025</v>
      </c>
    </row>
    <row r="108" spans="1:11" x14ac:dyDescent="0.35">
      <c r="A108" t="s">
        <v>164</v>
      </c>
      <c r="B108" s="5" t="s">
        <v>59</v>
      </c>
      <c r="C108">
        <v>50</v>
      </c>
      <c r="D108" s="5" t="s">
        <v>40</v>
      </c>
      <c r="E108">
        <v>3</v>
      </c>
      <c r="F108" s="5" t="s">
        <v>24</v>
      </c>
      <c r="G108" s="5" t="s">
        <v>25</v>
      </c>
      <c r="H108" s="5" t="s">
        <v>29</v>
      </c>
      <c r="I108" s="1">
        <v>45992</v>
      </c>
      <c r="J108" t="str">
        <f t="shared" si="4"/>
        <v>Neutal</v>
      </c>
      <c r="K108">
        <f t="shared" si="5"/>
        <v>2025</v>
      </c>
    </row>
    <row r="109" spans="1:11" x14ac:dyDescent="0.35">
      <c r="A109" t="s">
        <v>165</v>
      </c>
      <c r="B109" s="5" t="s">
        <v>66</v>
      </c>
      <c r="C109">
        <v>25</v>
      </c>
      <c r="D109" s="5" t="s">
        <v>36</v>
      </c>
      <c r="E109">
        <v>3</v>
      </c>
      <c r="F109" s="5" t="s">
        <v>12</v>
      </c>
      <c r="G109" s="5" t="s">
        <v>38</v>
      </c>
      <c r="H109" s="5" t="s">
        <v>26</v>
      </c>
      <c r="I109" s="1">
        <v>46026</v>
      </c>
      <c r="J109" t="str">
        <f t="shared" si="4"/>
        <v>Neutal</v>
      </c>
      <c r="K109">
        <f t="shared" si="5"/>
        <v>2026</v>
      </c>
    </row>
    <row r="110" spans="1:11" x14ac:dyDescent="0.35">
      <c r="A110" t="s">
        <v>166</v>
      </c>
      <c r="B110" s="5" t="s">
        <v>22</v>
      </c>
      <c r="C110">
        <v>28</v>
      </c>
      <c r="D110" s="5" t="s">
        <v>40</v>
      </c>
      <c r="E110">
        <v>4</v>
      </c>
      <c r="F110" s="5" t="s">
        <v>45</v>
      </c>
      <c r="G110" s="5" t="s">
        <v>25</v>
      </c>
      <c r="H110" s="5" t="s">
        <v>20</v>
      </c>
      <c r="I110" s="1">
        <v>46146</v>
      </c>
      <c r="J110" t="str">
        <f t="shared" si="4"/>
        <v>Positive</v>
      </c>
      <c r="K110">
        <f t="shared" si="5"/>
        <v>2026</v>
      </c>
    </row>
    <row r="111" spans="1:11" x14ac:dyDescent="0.35">
      <c r="A111" t="s">
        <v>167</v>
      </c>
      <c r="B111" s="5" t="s">
        <v>66</v>
      </c>
      <c r="C111">
        <v>29</v>
      </c>
      <c r="D111" s="5" t="s">
        <v>50</v>
      </c>
      <c r="E111">
        <v>3</v>
      </c>
      <c r="F111" s="5" t="s">
        <v>24</v>
      </c>
      <c r="G111" s="5" t="s">
        <v>19</v>
      </c>
      <c r="H111" s="5" t="s">
        <v>26</v>
      </c>
      <c r="I111" s="1">
        <v>46152</v>
      </c>
      <c r="J111" t="str">
        <f t="shared" si="4"/>
        <v>Neutal</v>
      </c>
      <c r="K111">
        <f t="shared" si="5"/>
        <v>2026</v>
      </c>
    </row>
    <row r="112" spans="1:11" x14ac:dyDescent="0.35">
      <c r="A112" t="s">
        <v>168</v>
      </c>
      <c r="B112" s="5" t="s">
        <v>59</v>
      </c>
      <c r="C112">
        <v>47</v>
      </c>
      <c r="D112" s="5" t="s">
        <v>50</v>
      </c>
      <c r="E112">
        <v>1</v>
      </c>
      <c r="F112" s="5" t="s">
        <v>37</v>
      </c>
      <c r="G112" s="5" t="s">
        <v>19</v>
      </c>
      <c r="H112" s="5" t="s">
        <v>42</v>
      </c>
      <c r="I112" s="1">
        <v>46088</v>
      </c>
      <c r="J112" t="str">
        <f t="shared" si="4"/>
        <v>Negaitive</v>
      </c>
      <c r="K112">
        <f t="shared" si="5"/>
        <v>2026</v>
      </c>
    </row>
    <row r="113" spans="1:11" x14ac:dyDescent="0.35">
      <c r="A113" t="s">
        <v>169</v>
      </c>
      <c r="B113" s="5" t="s">
        <v>113</v>
      </c>
      <c r="C113">
        <v>39</v>
      </c>
      <c r="D113" s="5" t="s">
        <v>11</v>
      </c>
      <c r="E113">
        <v>5</v>
      </c>
      <c r="F113" s="5" t="s">
        <v>64</v>
      </c>
      <c r="G113" s="5" t="s">
        <v>38</v>
      </c>
      <c r="H113" s="5" t="s">
        <v>29</v>
      </c>
      <c r="I113" s="1">
        <v>46038</v>
      </c>
      <c r="J113" t="str">
        <f t="shared" si="4"/>
        <v>Positive</v>
      </c>
      <c r="K113">
        <f t="shared" si="5"/>
        <v>2026</v>
      </c>
    </row>
    <row r="114" spans="1:11" x14ac:dyDescent="0.35">
      <c r="A114" t="s">
        <v>170</v>
      </c>
      <c r="B114" s="5" t="s">
        <v>10</v>
      </c>
      <c r="C114">
        <v>34</v>
      </c>
      <c r="D114" s="5" t="s">
        <v>36</v>
      </c>
      <c r="E114">
        <v>2</v>
      </c>
      <c r="F114" s="5" t="s">
        <v>84</v>
      </c>
      <c r="G114" s="5" t="s">
        <v>19</v>
      </c>
      <c r="H114" s="5" t="s">
        <v>42</v>
      </c>
      <c r="I114" s="1">
        <v>46143</v>
      </c>
      <c r="J114" t="str">
        <f t="shared" si="4"/>
        <v>Negaitive</v>
      </c>
      <c r="K114">
        <f t="shared" si="5"/>
        <v>2026</v>
      </c>
    </row>
    <row r="115" spans="1:11" x14ac:dyDescent="0.35">
      <c r="A115" t="s">
        <v>171</v>
      </c>
      <c r="B115" s="5" t="s">
        <v>35</v>
      </c>
      <c r="C115">
        <v>54</v>
      </c>
      <c r="D115" s="5" t="s">
        <v>11</v>
      </c>
      <c r="E115">
        <v>1</v>
      </c>
      <c r="F115" s="5" t="s">
        <v>24</v>
      </c>
      <c r="G115" s="5" t="s">
        <v>19</v>
      </c>
      <c r="H115" s="5" t="s">
        <v>29</v>
      </c>
      <c r="I115" s="1">
        <v>46108</v>
      </c>
      <c r="J115" t="str">
        <f t="shared" si="4"/>
        <v>Negaitive</v>
      </c>
      <c r="K115">
        <f t="shared" si="5"/>
        <v>2026</v>
      </c>
    </row>
    <row r="116" spans="1:11" x14ac:dyDescent="0.35">
      <c r="A116" t="s">
        <v>172</v>
      </c>
      <c r="B116" s="5" t="s">
        <v>66</v>
      </c>
      <c r="C116">
        <v>52</v>
      </c>
      <c r="D116" s="5" t="s">
        <v>44</v>
      </c>
      <c r="E116">
        <v>1</v>
      </c>
      <c r="F116" s="5" t="s">
        <v>57</v>
      </c>
      <c r="G116" s="5" t="s">
        <v>13</v>
      </c>
      <c r="H116" s="5" t="s">
        <v>14</v>
      </c>
      <c r="I116" s="1">
        <v>46129</v>
      </c>
      <c r="J116" t="str">
        <f t="shared" si="4"/>
        <v>Negaitive</v>
      </c>
      <c r="K116">
        <f t="shared" si="5"/>
        <v>2026</v>
      </c>
    </row>
    <row r="117" spans="1:11" x14ac:dyDescent="0.35">
      <c r="A117" t="s">
        <v>173</v>
      </c>
      <c r="B117" s="5" t="s">
        <v>145</v>
      </c>
      <c r="C117">
        <v>32</v>
      </c>
      <c r="D117" s="5" t="s">
        <v>32</v>
      </c>
      <c r="E117">
        <v>3</v>
      </c>
      <c r="F117" s="5" t="s">
        <v>12</v>
      </c>
      <c r="G117" s="5" t="s">
        <v>51</v>
      </c>
      <c r="H117" s="5" t="s">
        <v>42</v>
      </c>
      <c r="I117" s="1">
        <v>46121</v>
      </c>
      <c r="J117" t="str">
        <f t="shared" si="4"/>
        <v>Neutal</v>
      </c>
      <c r="K117">
        <f t="shared" si="5"/>
        <v>2026</v>
      </c>
    </row>
    <row r="118" spans="1:11" x14ac:dyDescent="0.35">
      <c r="A118" t="s">
        <v>174</v>
      </c>
      <c r="B118" s="5" t="s">
        <v>35</v>
      </c>
      <c r="C118">
        <v>38</v>
      </c>
      <c r="D118" s="5" t="s">
        <v>50</v>
      </c>
      <c r="E118">
        <v>3</v>
      </c>
      <c r="F118" s="5" t="s">
        <v>12</v>
      </c>
      <c r="G118" s="5" t="s">
        <v>33</v>
      </c>
      <c r="H118" s="5" t="s">
        <v>14</v>
      </c>
      <c r="I118" s="1">
        <v>46054</v>
      </c>
      <c r="J118" t="str">
        <f t="shared" si="4"/>
        <v>Neutal</v>
      </c>
      <c r="K118">
        <f t="shared" si="5"/>
        <v>2026</v>
      </c>
    </row>
    <row r="119" spans="1:11" x14ac:dyDescent="0.35">
      <c r="A119" t="s">
        <v>175</v>
      </c>
      <c r="B119" s="5" t="s">
        <v>22</v>
      </c>
      <c r="C119">
        <v>59</v>
      </c>
      <c r="D119" s="5" t="s">
        <v>40</v>
      </c>
      <c r="E119">
        <v>5</v>
      </c>
      <c r="F119" s="5" t="s">
        <v>62</v>
      </c>
      <c r="G119" s="5" t="s">
        <v>13</v>
      </c>
      <c r="H119" s="5" t="s">
        <v>42</v>
      </c>
      <c r="I119" s="1">
        <v>45989</v>
      </c>
      <c r="J119" t="str">
        <f t="shared" si="4"/>
        <v>Positive</v>
      </c>
      <c r="K119">
        <f t="shared" si="5"/>
        <v>2025</v>
      </c>
    </row>
    <row r="120" spans="1:11" x14ac:dyDescent="0.35">
      <c r="A120" t="s">
        <v>176</v>
      </c>
      <c r="B120" s="5" t="s">
        <v>53</v>
      </c>
      <c r="C120">
        <v>27</v>
      </c>
      <c r="D120" s="5" t="s">
        <v>11</v>
      </c>
      <c r="E120">
        <v>2</v>
      </c>
      <c r="F120" s="5" t="s">
        <v>18</v>
      </c>
      <c r="G120" s="5" t="s">
        <v>51</v>
      </c>
      <c r="H120" s="5" t="s">
        <v>26</v>
      </c>
      <c r="I120" s="1">
        <v>46057</v>
      </c>
      <c r="J120" t="str">
        <f t="shared" si="4"/>
        <v>Negaitive</v>
      </c>
      <c r="K120">
        <f t="shared" si="5"/>
        <v>2026</v>
      </c>
    </row>
    <row r="121" spans="1:11" x14ac:dyDescent="0.35">
      <c r="A121" t="s">
        <v>177</v>
      </c>
      <c r="B121" s="5" t="s">
        <v>75</v>
      </c>
      <c r="C121">
        <v>39</v>
      </c>
      <c r="D121" s="5" t="s">
        <v>32</v>
      </c>
      <c r="E121">
        <v>3</v>
      </c>
      <c r="F121" s="5" t="s">
        <v>62</v>
      </c>
      <c r="G121" s="5" t="s">
        <v>33</v>
      </c>
      <c r="H121" s="5" t="s">
        <v>20</v>
      </c>
      <c r="I121" s="1">
        <v>46015</v>
      </c>
      <c r="J121" t="str">
        <f t="shared" si="4"/>
        <v>Neutal</v>
      </c>
      <c r="K121">
        <f t="shared" si="5"/>
        <v>2025</v>
      </c>
    </row>
    <row r="122" spans="1:11" x14ac:dyDescent="0.35">
      <c r="A122" t="s">
        <v>178</v>
      </c>
      <c r="B122" s="5" t="s">
        <v>35</v>
      </c>
      <c r="C122">
        <v>59</v>
      </c>
      <c r="D122" s="5" t="s">
        <v>11</v>
      </c>
      <c r="E122">
        <v>1</v>
      </c>
      <c r="F122" s="5" t="s">
        <v>37</v>
      </c>
      <c r="G122" s="5" t="s">
        <v>38</v>
      </c>
      <c r="H122" s="5" t="s">
        <v>14</v>
      </c>
      <c r="I122" s="1">
        <v>46079</v>
      </c>
      <c r="J122" t="str">
        <f t="shared" si="4"/>
        <v>Negaitive</v>
      </c>
      <c r="K122">
        <f t="shared" si="5"/>
        <v>2026</v>
      </c>
    </row>
    <row r="123" spans="1:11" x14ac:dyDescent="0.35">
      <c r="A123" t="s">
        <v>179</v>
      </c>
      <c r="B123" s="5" t="s">
        <v>53</v>
      </c>
      <c r="C123">
        <v>56</v>
      </c>
      <c r="D123" s="5" t="s">
        <v>40</v>
      </c>
      <c r="E123">
        <v>2</v>
      </c>
      <c r="F123" s="5" t="s">
        <v>12</v>
      </c>
      <c r="G123" s="5" t="s">
        <v>25</v>
      </c>
      <c r="H123" s="5" t="s">
        <v>29</v>
      </c>
      <c r="I123" s="1">
        <v>46089</v>
      </c>
      <c r="J123" t="str">
        <f t="shared" si="4"/>
        <v>Negaitive</v>
      </c>
      <c r="K123">
        <f t="shared" si="5"/>
        <v>2026</v>
      </c>
    </row>
    <row r="124" spans="1:11" x14ac:dyDescent="0.35">
      <c r="A124" t="s">
        <v>180</v>
      </c>
      <c r="B124" s="5" t="s">
        <v>61</v>
      </c>
      <c r="C124">
        <v>18</v>
      </c>
      <c r="D124" s="5" t="s">
        <v>11</v>
      </c>
      <c r="E124">
        <v>1</v>
      </c>
      <c r="F124" s="5" t="s">
        <v>24</v>
      </c>
      <c r="G124" s="5" t="s">
        <v>33</v>
      </c>
      <c r="H124" s="5" t="s">
        <v>26</v>
      </c>
      <c r="I124" s="1">
        <v>46082</v>
      </c>
      <c r="J124" t="str">
        <f t="shared" si="4"/>
        <v>Negaitive</v>
      </c>
      <c r="K124">
        <f t="shared" si="5"/>
        <v>2026</v>
      </c>
    </row>
    <row r="125" spans="1:11" x14ac:dyDescent="0.35">
      <c r="A125" t="s">
        <v>181</v>
      </c>
      <c r="B125" s="5" t="s">
        <v>47</v>
      </c>
      <c r="C125">
        <v>55</v>
      </c>
      <c r="D125" s="5" t="s">
        <v>40</v>
      </c>
      <c r="E125">
        <v>3</v>
      </c>
      <c r="F125" s="5" t="s">
        <v>57</v>
      </c>
      <c r="G125" s="5" t="s">
        <v>38</v>
      </c>
      <c r="H125" s="5" t="s">
        <v>42</v>
      </c>
      <c r="I125" s="1">
        <v>46156</v>
      </c>
      <c r="J125" t="str">
        <f t="shared" si="4"/>
        <v>Neutal</v>
      </c>
      <c r="K125">
        <f t="shared" si="5"/>
        <v>2026</v>
      </c>
    </row>
    <row r="126" spans="1:11" x14ac:dyDescent="0.35">
      <c r="A126" t="s">
        <v>182</v>
      </c>
      <c r="B126" s="5" t="s">
        <v>49</v>
      </c>
      <c r="C126">
        <v>56</v>
      </c>
      <c r="D126" s="5" t="s">
        <v>17</v>
      </c>
      <c r="E126">
        <v>3</v>
      </c>
      <c r="F126" s="5" t="s">
        <v>24</v>
      </c>
      <c r="G126" s="5" t="s">
        <v>38</v>
      </c>
      <c r="H126" s="5" t="s">
        <v>29</v>
      </c>
      <c r="I126" s="1">
        <v>46016</v>
      </c>
      <c r="J126" t="str">
        <f t="shared" si="4"/>
        <v>Neutal</v>
      </c>
      <c r="K126">
        <f t="shared" si="5"/>
        <v>2025</v>
      </c>
    </row>
    <row r="127" spans="1:11" x14ac:dyDescent="0.35">
      <c r="A127" t="s">
        <v>183</v>
      </c>
      <c r="B127" s="5" t="s">
        <v>31</v>
      </c>
      <c r="C127">
        <v>27</v>
      </c>
      <c r="D127" s="5" t="s">
        <v>36</v>
      </c>
      <c r="E127">
        <v>3</v>
      </c>
      <c r="F127" s="5" t="s">
        <v>12</v>
      </c>
      <c r="G127" s="5" t="s">
        <v>13</v>
      </c>
      <c r="H127" s="5" t="s">
        <v>29</v>
      </c>
      <c r="I127" s="1">
        <v>46011</v>
      </c>
      <c r="J127" t="str">
        <f t="shared" si="4"/>
        <v>Neutal</v>
      </c>
      <c r="K127">
        <f t="shared" si="5"/>
        <v>2025</v>
      </c>
    </row>
    <row r="128" spans="1:11" x14ac:dyDescent="0.35">
      <c r="A128" t="s">
        <v>184</v>
      </c>
      <c r="B128" s="5" t="s">
        <v>73</v>
      </c>
      <c r="C128">
        <v>49</v>
      </c>
      <c r="D128" s="5" t="s">
        <v>23</v>
      </c>
      <c r="E128">
        <v>4</v>
      </c>
      <c r="F128" s="5" t="s">
        <v>18</v>
      </c>
      <c r="G128" s="5" t="s">
        <v>19</v>
      </c>
      <c r="H128" s="5" t="s">
        <v>42</v>
      </c>
      <c r="I128" s="1">
        <v>46134</v>
      </c>
      <c r="J128" t="str">
        <f t="shared" si="4"/>
        <v>Positive</v>
      </c>
      <c r="K128">
        <f t="shared" si="5"/>
        <v>2026</v>
      </c>
    </row>
    <row r="129" spans="1:11" x14ac:dyDescent="0.35">
      <c r="A129" t="s">
        <v>185</v>
      </c>
      <c r="B129" s="5" t="s">
        <v>53</v>
      </c>
      <c r="C129">
        <v>20</v>
      </c>
      <c r="D129" s="5" t="s">
        <v>17</v>
      </c>
      <c r="E129">
        <v>2</v>
      </c>
      <c r="F129" s="5" t="s">
        <v>18</v>
      </c>
      <c r="G129" s="5" t="s">
        <v>38</v>
      </c>
      <c r="H129" s="5" t="s">
        <v>42</v>
      </c>
      <c r="I129" s="1">
        <v>46071</v>
      </c>
      <c r="J129" t="str">
        <f t="shared" si="4"/>
        <v>Negaitive</v>
      </c>
      <c r="K129">
        <f t="shared" si="5"/>
        <v>2026</v>
      </c>
    </row>
    <row r="130" spans="1:11" x14ac:dyDescent="0.35">
      <c r="A130" t="s">
        <v>186</v>
      </c>
      <c r="B130" s="5" t="s">
        <v>145</v>
      </c>
      <c r="C130">
        <v>28</v>
      </c>
      <c r="D130" s="5" t="s">
        <v>44</v>
      </c>
      <c r="E130">
        <v>3</v>
      </c>
      <c r="F130" s="5" t="s">
        <v>84</v>
      </c>
      <c r="G130" s="5" t="s">
        <v>25</v>
      </c>
      <c r="H130" s="5" t="s">
        <v>42</v>
      </c>
      <c r="I130" s="1">
        <v>46124</v>
      </c>
      <c r="J130" t="str">
        <f t="shared" si="4"/>
        <v>Neutal</v>
      </c>
      <c r="K130">
        <f t="shared" ref="K130:K161" si="6">YEAR(I130)</f>
        <v>2026</v>
      </c>
    </row>
    <row r="131" spans="1:11" x14ac:dyDescent="0.35">
      <c r="A131" t="s">
        <v>187</v>
      </c>
      <c r="B131" s="5" t="s">
        <v>10</v>
      </c>
      <c r="C131">
        <v>18</v>
      </c>
      <c r="D131" s="5" t="s">
        <v>50</v>
      </c>
      <c r="E131">
        <v>1</v>
      </c>
      <c r="F131" s="5" t="s">
        <v>24</v>
      </c>
      <c r="G131" s="5" t="s">
        <v>19</v>
      </c>
      <c r="H131" s="5" t="s">
        <v>20</v>
      </c>
      <c r="I131" s="1">
        <v>46164</v>
      </c>
      <c r="J131" t="str">
        <f t="shared" ref="J131:J194" si="7">IF(E131&gt;=4,"Positive",IF(E131=3,"Neutal","Negaitive"))</f>
        <v>Negaitive</v>
      </c>
      <c r="K131">
        <f t="shared" si="6"/>
        <v>2026</v>
      </c>
    </row>
    <row r="132" spans="1:11" x14ac:dyDescent="0.35">
      <c r="A132" t="s">
        <v>188</v>
      </c>
      <c r="B132" s="5" t="s">
        <v>31</v>
      </c>
      <c r="C132">
        <v>37</v>
      </c>
      <c r="D132" s="5" t="s">
        <v>32</v>
      </c>
      <c r="E132">
        <v>4</v>
      </c>
      <c r="F132" s="5" t="s">
        <v>84</v>
      </c>
      <c r="G132" s="5" t="s">
        <v>33</v>
      </c>
      <c r="H132" s="5" t="s">
        <v>14</v>
      </c>
      <c r="I132" s="1">
        <v>46079</v>
      </c>
      <c r="J132" t="str">
        <f t="shared" si="7"/>
        <v>Positive</v>
      </c>
      <c r="K132">
        <f t="shared" si="6"/>
        <v>2026</v>
      </c>
    </row>
    <row r="133" spans="1:11" x14ac:dyDescent="0.35">
      <c r="A133" t="s">
        <v>189</v>
      </c>
      <c r="B133" s="5" t="s">
        <v>66</v>
      </c>
      <c r="C133">
        <v>43</v>
      </c>
      <c r="D133" s="5" t="s">
        <v>36</v>
      </c>
      <c r="E133">
        <v>3</v>
      </c>
      <c r="F133" s="5" t="s">
        <v>18</v>
      </c>
      <c r="G133" s="5" t="s">
        <v>33</v>
      </c>
      <c r="H133" s="5" t="s">
        <v>20</v>
      </c>
      <c r="I133" s="1">
        <v>46003</v>
      </c>
      <c r="J133" t="str">
        <f t="shared" si="7"/>
        <v>Neutal</v>
      </c>
      <c r="K133">
        <f t="shared" si="6"/>
        <v>2025</v>
      </c>
    </row>
    <row r="134" spans="1:11" x14ac:dyDescent="0.35">
      <c r="A134" t="s">
        <v>190</v>
      </c>
      <c r="B134" s="5" t="s">
        <v>61</v>
      </c>
      <c r="C134">
        <v>29</v>
      </c>
      <c r="D134" s="5" t="s">
        <v>17</v>
      </c>
      <c r="E134">
        <v>3</v>
      </c>
      <c r="F134" s="5" t="s">
        <v>12</v>
      </c>
      <c r="G134" s="5" t="s">
        <v>51</v>
      </c>
      <c r="H134" s="5" t="s">
        <v>29</v>
      </c>
      <c r="I134" s="1">
        <v>46030</v>
      </c>
      <c r="J134" t="str">
        <f t="shared" si="7"/>
        <v>Neutal</v>
      </c>
      <c r="K134">
        <f t="shared" si="6"/>
        <v>2026</v>
      </c>
    </row>
    <row r="135" spans="1:11" x14ac:dyDescent="0.35">
      <c r="A135" t="s">
        <v>191</v>
      </c>
      <c r="B135" s="5" t="s">
        <v>75</v>
      </c>
      <c r="C135">
        <v>53</v>
      </c>
      <c r="D135" s="5" t="s">
        <v>11</v>
      </c>
      <c r="E135">
        <v>2</v>
      </c>
      <c r="F135" s="5" t="s">
        <v>24</v>
      </c>
      <c r="G135" s="5" t="s">
        <v>13</v>
      </c>
      <c r="H135" s="5" t="s">
        <v>42</v>
      </c>
      <c r="I135" s="1">
        <v>46138</v>
      </c>
      <c r="J135" t="str">
        <f t="shared" si="7"/>
        <v>Negaitive</v>
      </c>
      <c r="K135">
        <f t="shared" si="6"/>
        <v>2026</v>
      </c>
    </row>
    <row r="136" spans="1:11" x14ac:dyDescent="0.35">
      <c r="A136" t="s">
        <v>192</v>
      </c>
      <c r="B136" s="5" t="s">
        <v>66</v>
      </c>
      <c r="C136">
        <v>37</v>
      </c>
      <c r="D136" s="5" t="s">
        <v>32</v>
      </c>
      <c r="E136">
        <v>1</v>
      </c>
      <c r="F136" s="5" t="s">
        <v>64</v>
      </c>
      <c r="G136" s="5" t="s">
        <v>19</v>
      </c>
      <c r="H136" s="5" t="s">
        <v>26</v>
      </c>
      <c r="I136" s="1">
        <v>46076</v>
      </c>
      <c r="J136" t="str">
        <f t="shared" si="7"/>
        <v>Negaitive</v>
      </c>
      <c r="K136">
        <f t="shared" si="6"/>
        <v>2026</v>
      </c>
    </row>
    <row r="137" spans="1:11" x14ac:dyDescent="0.35">
      <c r="A137" t="s">
        <v>193</v>
      </c>
      <c r="B137" s="5" t="s">
        <v>91</v>
      </c>
      <c r="C137">
        <v>56</v>
      </c>
      <c r="D137" s="5" t="s">
        <v>36</v>
      </c>
      <c r="E137">
        <v>2</v>
      </c>
      <c r="F137" s="5" t="s">
        <v>45</v>
      </c>
      <c r="G137" s="5" t="s">
        <v>13</v>
      </c>
      <c r="H137" s="5" t="s">
        <v>42</v>
      </c>
      <c r="I137" s="1">
        <v>46104</v>
      </c>
      <c r="J137" t="str">
        <f t="shared" si="7"/>
        <v>Negaitive</v>
      </c>
      <c r="K137">
        <f t="shared" si="6"/>
        <v>2026</v>
      </c>
    </row>
    <row r="138" spans="1:11" x14ac:dyDescent="0.35">
      <c r="A138" t="s">
        <v>194</v>
      </c>
      <c r="B138" s="5" t="s">
        <v>28</v>
      </c>
      <c r="C138">
        <v>51</v>
      </c>
      <c r="D138" s="5" t="s">
        <v>50</v>
      </c>
      <c r="E138">
        <v>5</v>
      </c>
      <c r="F138" s="5" t="s">
        <v>41</v>
      </c>
      <c r="G138" s="5" t="s">
        <v>19</v>
      </c>
      <c r="H138" s="5" t="s">
        <v>29</v>
      </c>
      <c r="I138" s="1">
        <v>45997</v>
      </c>
      <c r="J138" t="str">
        <f t="shared" si="7"/>
        <v>Positive</v>
      </c>
      <c r="K138">
        <f t="shared" si="6"/>
        <v>2025</v>
      </c>
    </row>
    <row r="139" spans="1:11" x14ac:dyDescent="0.35">
      <c r="A139" t="s">
        <v>195</v>
      </c>
      <c r="B139" s="5" t="s">
        <v>75</v>
      </c>
      <c r="C139">
        <v>43</v>
      </c>
      <c r="D139" s="5" t="s">
        <v>50</v>
      </c>
      <c r="E139">
        <v>3</v>
      </c>
      <c r="F139" s="5" t="s">
        <v>62</v>
      </c>
      <c r="G139" s="5" t="s">
        <v>38</v>
      </c>
      <c r="H139" s="5" t="s">
        <v>20</v>
      </c>
      <c r="I139" s="1">
        <v>46118</v>
      </c>
      <c r="J139" t="str">
        <f t="shared" si="7"/>
        <v>Neutal</v>
      </c>
      <c r="K139">
        <f t="shared" si="6"/>
        <v>2026</v>
      </c>
    </row>
    <row r="140" spans="1:11" x14ac:dyDescent="0.35">
      <c r="A140" t="s">
        <v>196</v>
      </c>
      <c r="B140" s="5" t="s">
        <v>22</v>
      </c>
      <c r="C140">
        <v>25</v>
      </c>
      <c r="D140" s="5" t="s">
        <v>23</v>
      </c>
      <c r="E140">
        <v>5</v>
      </c>
      <c r="F140" s="5" t="s">
        <v>62</v>
      </c>
      <c r="G140" s="5" t="s">
        <v>13</v>
      </c>
      <c r="H140" s="5" t="s">
        <v>26</v>
      </c>
      <c r="I140" s="1">
        <v>46042</v>
      </c>
      <c r="J140" t="str">
        <f t="shared" si="7"/>
        <v>Positive</v>
      </c>
      <c r="K140">
        <f t="shared" si="6"/>
        <v>2026</v>
      </c>
    </row>
    <row r="141" spans="1:11" x14ac:dyDescent="0.35">
      <c r="A141" t="s">
        <v>197</v>
      </c>
      <c r="B141" s="5" t="s">
        <v>66</v>
      </c>
      <c r="C141">
        <v>31</v>
      </c>
      <c r="D141" s="5" t="s">
        <v>11</v>
      </c>
      <c r="E141">
        <v>3</v>
      </c>
      <c r="F141" s="5" t="s">
        <v>57</v>
      </c>
      <c r="G141" s="5" t="s">
        <v>51</v>
      </c>
      <c r="H141" s="5" t="s">
        <v>20</v>
      </c>
      <c r="I141" s="1">
        <v>46145</v>
      </c>
      <c r="J141" t="str">
        <f t="shared" si="7"/>
        <v>Neutal</v>
      </c>
      <c r="K141">
        <f t="shared" si="6"/>
        <v>2026</v>
      </c>
    </row>
    <row r="142" spans="1:11" x14ac:dyDescent="0.35">
      <c r="A142" t="s">
        <v>198</v>
      </c>
      <c r="B142" s="5" t="s">
        <v>59</v>
      </c>
      <c r="C142">
        <v>28</v>
      </c>
      <c r="D142" s="5" t="s">
        <v>11</v>
      </c>
      <c r="E142">
        <v>5</v>
      </c>
      <c r="F142" s="5" t="s">
        <v>24</v>
      </c>
      <c r="G142" s="5" t="s">
        <v>25</v>
      </c>
      <c r="H142" s="5" t="s">
        <v>26</v>
      </c>
      <c r="I142" s="1">
        <v>46140</v>
      </c>
      <c r="J142" t="str">
        <f t="shared" si="7"/>
        <v>Positive</v>
      </c>
      <c r="K142">
        <f t="shared" si="6"/>
        <v>2026</v>
      </c>
    </row>
    <row r="143" spans="1:11" x14ac:dyDescent="0.35">
      <c r="A143" t="s">
        <v>199</v>
      </c>
      <c r="B143" s="5" t="s">
        <v>35</v>
      </c>
      <c r="C143">
        <v>46</v>
      </c>
      <c r="D143" s="5" t="s">
        <v>11</v>
      </c>
      <c r="E143">
        <v>1</v>
      </c>
      <c r="F143" s="5" t="s">
        <v>24</v>
      </c>
      <c r="G143" s="5" t="s">
        <v>51</v>
      </c>
      <c r="H143" s="5" t="s">
        <v>26</v>
      </c>
      <c r="I143" s="1">
        <v>46160</v>
      </c>
      <c r="J143" t="str">
        <f t="shared" si="7"/>
        <v>Negaitive</v>
      </c>
      <c r="K143">
        <f t="shared" si="6"/>
        <v>2026</v>
      </c>
    </row>
    <row r="144" spans="1:11" x14ac:dyDescent="0.35">
      <c r="A144" t="s">
        <v>200</v>
      </c>
      <c r="B144" s="5" t="s">
        <v>61</v>
      </c>
      <c r="C144">
        <v>29</v>
      </c>
      <c r="D144" s="5" t="s">
        <v>40</v>
      </c>
      <c r="E144">
        <v>3</v>
      </c>
      <c r="F144" s="5" t="s">
        <v>18</v>
      </c>
      <c r="G144" s="5" t="s">
        <v>19</v>
      </c>
      <c r="H144" s="5" t="s">
        <v>29</v>
      </c>
      <c r="I144" s="1">
        <v>46117</v>
      </c>
      <c r="J144" t="str">
        <f t="shared" si="7"/>
        <v>Neutal</v>
      </c>
      <c r="K144">
        <f t="shared" si="6"/>
        <v>2026</v>
      </c>
    </row>
    <row r="145" spans="1:11" x14ac:dyDescent="0.35">
      <c r="A145" t="s">
        <v>201</v>
      </c>
      <c r="B145" s="5" t="s">
        <v>35</v>
      </c>
      <c r="C145">
        <v>49</v>
      </c>
      <c r="D145" s="5" t="s">
        <v>32</v>
      </c>
      <c r="E145">
        <v>2</v>
      </c>
      <c r="F145" s="5" t="s">
        <v>64</v>
      </c>
      <c r="G145" s="5" t="s">
        <v>25</v>
      </c>
      <c r="H145" s="5" t="s">
        <v>42</v>
      </c>
      <c r="I145" s="1">
        <v>46074</v>
      </c>
      <c r="J145" t="str">
        <f t="shared" si="7"/>
        <v>Negaitive</v>
      </c>
      <c r="K145">
        <f t="shared" si="6"/>
        <v>2026</v>
      </c>
    </row>
    <row r="146" spans="1:11" x14ac:dyDescent="0.35">
      <c r="A146" t="s">
        <v>202</v>
      </c>
      <c r="B146" s="5" t="s">
        <v>96</v>
      </c>
      <c r="C146">
        <v>20</v>
      </c>
      <c r="D146" s="5" t="s">
        <v>32</v>
      </c>
      <c r="E146">
        <v>5</v>
      </c>
      <c r="F146" s="5" t="s">
        <v>24</v>
      </c>
      <c r="G146" s="5" t="s">
        <v>33</v>
      </c>
      <c r="H146" s="5" t="s">
        <v>42</v>
      </c>
      <c r="I146" s="1">
        <v>46150</v>
      </c>
      <c r="J146" t="str">
        <f t="shared" si="7"/>
        <v>Positive</v>
      </c>
      <c r="K146">
        <f t="shared" si="6"/>
        <v>2026</v>
      </c>
    </row>
    <row r="147" spans="1:11" x14ac:dyDescent="0.35">
      <c r="A147" t="s">
        <v>203</v>
      </c>
      <c r="B147" s="5" t="s">
        <v>75</v>
      </c>
      <c r="C147">
        <v>32</v>
      </c>
      <c r="D147" s="5" t="s">
        <v>44</v>
      </c>
      <c r="E147">
        <v>4</v>
      </c>
      <c r="F147" s="5" t="s">
        <v>57</v>
      </c>
      <c r="G147" s="5" t="s">
        <v>51</v>
      </c>
      <c r="H147" s="5" t="s">
        <v>42</v>
      </c>
      <c r="I147" s="1">
        <v>46000</v>
      </c>
      <c r="J147" t="str">
        <f t="shared" si="7"/>
        <v>Positive</v>
      </c>
      <c r="K147">
        <f t="shared" si="6"/>
        <v>2025</v>
      </c>
    </row>
    <row r="148" spans="1:11" x14ac:dyDescent="0.35">
      <c r="A148" t="s">
        <v>204</v>
      </c>
      <c r="B148" s="5" t="s">
        <v>22</v>
      </c>
      <c r="C148">
        <v>21</v>
      </c>
      <c r="D148" s="5" t="s">
        <v>23</v>
      </c>
      <c r="E148">
        <v>4</v>
      </c>
      <c r="F148" s="5" t="s">
        <v>64</v>
      </c>
      <c r="G148" s="5" t="s">
        <v>38</v>
      </c>
      <c r="H148" s="5" t="s">
        <v>42</v>
      </c>
      <c r="I148" s="1">
        <v>46155</v>
      </c>
      <c r="J148" t="str">
        <f t="shared" si="7"/>
        <v>Positive</v>
      </c>
      <c r="K148">
        <f t="shared" si="6"/>
        <v>2026</v>
      </c>
    </row>
    <row r="149" spans="1:11" x14ac:dyDescent="0.35">
      <c r="A149" t="s">
        <v>205</v>
      </c>
      <c r="B149" s="5" t="s">
        <v>35</v>
      </c>
      <c r="C149">
        <v>26</v>
      </c>
      <c r="D149" s="5" t="s">
        <v>11</v>
      </c>
      <c r="E149">
        <v>4</v>
      </c>
      <c r="F149" s="5" t="s">
        <v>41</v>
      </c>
      <c r="G149" s="5" t="s">
        <v>51</v>
      </c>
      <c r="H149" s="5" t="s">
        <v>14</v>
      </c>
      <c r="I149" s="1">
        <v>46045</v>
      </c>
      <c r="J149" t="str">
        <f t="shared" si="7"/>
        <v>Positive</v>
      </c>
      <c r="K149">
        <f t="shared" si="6"/>
        <v>2026</v>
      </c>
    </row>
    <row r="150" spans="1:11" x14ac:dyDescent="0.35">
      <c r="A150" t="s">
        <v>206</v>
      </c>
      <c r="B150" s="5" t="s">
        <v>71</v>
      </c>
      <c r="C150">
        <v>34</v>
      </c>
      <c r="D150" s="5" t="s">
        <v>17</v>
      </c>
      <c r="E150">
        <v>2</v>
      </c>
      <c r="F150" s="5" t="s">
        <v>37</v>
      </c>
      <c r="G150" s="5" t="s">
        <v>25</v>
      </c>
      <c r="H150" s="5" t="s">
        <v>20</v>
      </c>
      <c r="I150" s="1">
        <v>45998</v>
      </c>
      <c r="J150" t="str">
        <f t="shared" si="7"/>
        <v>Negaitive</v>
      </c>
      <c r="K150">
        <f t="shared" si="6"/>
        <v>2025</v>
      </c>
    </row>
    <row r="151" spans="1:11" x14ac:dyDescent="0.35">
      <c r="A151" t="s">
        <v>207</v>
      </c>
      <c r="B151" s="5" t="s">
        <v>28</v>
      </c>
      <c r="C151">
        <v>53</v>
      </c>
      <c r="D151" s="5" t="s">
        <v>40</v>
      </c>
      <c r="E151">
        <v>2</v>
      </c>
      <c r="F151" s="5" t="s">
        <v>64</v>
      </c>
      <c r="G151" s="5" t="s">
        <v>51</v>
      </c>
      <c r="H151" s="5" t="s">
        <v>26</v>
      </c>
      <c r="I151" s="1">
        <v>46155</v>
      </c>
      <c r="J151" t="str">
        <f t="shared" si="7"/>
        <v>Negaitive</v>
      </c>
      <c r="K151">
        <f t="shared" si="6"/>
        <v>2026</v>
      </c>
    </row>
    <row r="152" spans="1:11" x14ac:dyDescent="0.35">
      <c r="A152" t="s">
        <v>208</v>
      </c>
      <c r="B152" s="5" t="s">
        <v>56</v>
      </c>
      <c r="C152">
        <v>20</v>
      </c>
      <c r="D152" s="5" t="s">
        <v>11</v>
      </c>
      <c r="E152">
        <v>1</v>
      </c>
      <c r="F152" s="5" t="s">
        <v>62</v>
      </c>
      <c r="G152" s="5" t="s">
        <v>33</v>
      </c>
      <c r="H152" s="5" t="s">
        <v>29</v>
      </c>
      <c r="I152" s="1">
        <v>46075</v>
      </c>
      <c r="J152" t="str">
        <f t="shared" si="7"/>
        <v>Negaitive</v>
      </c>
      <c r="K152">
        <f t="shared" si="6"/>
        <v>2026</v>
      </c>
    </row>
    <row r="153" spans="1:11" x14ac:dyDescent="0.35">
      <c r="A153" t="s">
        <v>209</v>
      </c>
      <c r="B153" s="5" t="s">
        <v>35</v>
      </c>
      <c r="C153">
        <v>26</v>
      </c>
      <c r="D153" s="5" t="s">
        <v>36</v>
      </c>
      <c r="E153">
        <v>1</v>
      </c>
      <c r="F153" s="5" t="s">
        <v>62</v>
      </c>
      <c r="G153" s="5" t="s">
        <v>51</v>
      </c>
      <c r="H153" s="5" t="s">
        <v>14</v>
      </c>
      <c r="I153" s="1">
        <v>46143</v>
      </c>
      <c r="J153" t="str">
        <f t="shared" si="7"/>
        <v>Negaitive</v>
      </c>
      <c r="K153">
        <f t="shared" si="6"/>
        <v>2026</v>
      </c>
    </row>
    <row r="154" spans="1:11" x14ac:dyDescent="0.35">
      <c r="A154" t="s">
        <v>210</v>
      </c>
      <c r="B154" s="5" t="s">
        <v>61</v>
      </c>
      <c r="C154">
        <v>35</v>
      </c>
      <c r="D154" s="5" t="s">
        <v>11</v>
      </c>
      <c r="E154">
        <v>4</v>
      </c>
      <c r="F154" s="5" t="s">
        <v>64</v>
      </c>
      <c r="G154" s="5" t="s">
        <v>33</v>
      </c>
      <c r="H154" s="5" t="s">
        <v>42</v>
      </c>
      <c r="I154" s="1">
        <v>46003</v>
      </c>
      <c r="J154" t="str">
        <f t="shared" si="7"/>
        <v>Positive</v>
      </c>
      <c r="K154">
        <f t="shared" si="6"/>
        <v>2025</v>
      </c>
    </row>
    <row r="155" spans="1:11" x14ac:dyDescent="0.35">
      <c r="A155" t="s">
        <v>211</v>
      </c>
      <c r="B155" s="5" t="s">
        <v>16</v>
      </c>
      <c r="C155">
        <v>35</v>
      </c>
      <c r="D155" s="5" t="s">
        <v>40</v>
      </c>
      <c r="E155">
        <v>3</v>
      </c>
      <c r="F155" s="5" t="s">
        <v>84</v>
      </c>
      <c r="G155" s="5" t="s">
        <v>19</v>
      </c>
      <c r="H155" s="5" t="s">
        <v>29</v>
      </c>
      <c r="I155" s="1">
        <v>46050</v>
      </c>
      <c r="J155" t="str">
        <f t="shared" si="7"/>
        <v>Neutal</v>
      </c>
      <c r="K155">
        <f t="shared" si="6"/>
        <v>2026</v>
      </c>
    </row>
    <row r="156" spans="1:11" x14ac:dyDescent="0.35">
      <c r="A156" t="s">
        <v>212</v>
      </c>
      <c r="B156" s="5" t="s">
        <v>10</v>
      </c>
      <c r="C156">
        <v>30</v>
      </c>
      <c r="D156" s="5" t="s">
        <v>23</v>
      </c>
      <c r="E156">
        <v>3</v>
      </c>
      <c r="F156" s="5" t="s">
        <v>62</v>
      </c>
      <c r="G156" s="5" t="s">
        <v>19</v>
      </c>
      <c r="H156" s="5" t="s">
        <v>42</v>
      </c>
      <c r="I156" s="1">
        <v>46094</v>
      </c>
      <c r="J156" t="str">
        <f t="shared" si="7"/>
        <v>Neutal</v>
      </c>
      <c r="K156">
        <f t="shared" si="6"/>
        <v>2026</v>
      </c>
    </row>
    <row r="157" spans="1:11" x14ac:dyDescent="0.35">
      <c r="A157" t="s">
        <v>213</v>
      </c>
      <c r="B157" s="5" t="s">
        <v>22</v>
      </c>
      <c r="C157">
        <v>42</v>
      </c>
      <c r="D157" s="5" t="s">
        <v>32</v>
      </c>
      <c r="E157">
        <v>1</v>
      </c>
      <c r="F157" s="5" t="s">
        <v>57</v>
      </c>
      <c r="G157" s="5" t="s">
        <v>51</v>
      </c>
      <c r="H157" s="5" t="s">
        <v>26</v>
      </c>
      <c r="I157" s="1">
        <v>46007</v>
      </c>
      <c r="J157" t="str">
        <f t="shared" si="7"/>
        <v>Negaitive</v>
      </c>
      <c r="K157">
        <f t="shared" si="6"/>
        <v>2025</v>
      </c>
    </row>
    <row r="158" spans="1:11" x14ac:dyDescent="0.35">
      <c r="A158" t="s">
        <v>214</v>
      </c>
      <c r="B158" s="5" t="s">
        <v>56</v>
      </c>
      <c r="C158">
        <v>55</v>
      </c>
      <c r="D158" s="5" t="s">
        <v>32</v>
      </c>
      <c r="E158">
        <v>4</v>
      </c>
      <c r="F158" s="5" t="s">
        <v>64</v>
      </c>
      <c r="G158" s="5" t="s">
        <v>13</v>
      </c>
      <c r="H158" s="5" t="s">
        <v>29</v>
      </c>
      <c r="I158" s="1">
        <v>46114</v>
      </c>
      <c r="J158" t="str">
        <f t="shared" si="7"/>
        <v>Positive</v>
      </c>
      <c r="K158">
        <f t="shared" si="6"/>
        <v>2026</v>
      </c>
    </row>
    <row r="159" spans="1:11" x14ac:dyDescent="0.35">
      <c r="A159" t="s">
        <v>215</v>
      </c>
      <c r="B159" s="5" t="s">
        <v>75</v>
      </c>
      <c r="C159">
        <v>32</v>
      </c>
      <c r="D159" s="5" t="s">
        <v>40</v>
      </c>
      <c r="E159">
        <v>2</v>
      </c>
      <c r="F159" s="5" t="s">
        <v>84</v>
      </c>
      <c r="G159" s="5" t="s">
        <v>51</v>
      </c>
      <c r="H159" s="5" t="s">
        <v>42</v>
      </c>
      <c r="I159" s="1">
        <v>46132</v>
      </c>
      <c r="J159" t="str">
        <f t="shared" si="7"/>
        <v>Negaitive</v>
      </c>
      <c r="K159">
        <f t="shared" si="6"/>
        <v>2026</v>
      </c>
    </row>
    <row r="160" spans="1:11" x14ac:dyDescent="0.35">
      <c r="A160" t="s">
        <v>216</v>
      </c>
      <c r="B160" s="5" t="s">
        <v>66</v>
      </c>
      <c r="C160">
        <v>33</v>
      </c>
      <c r="D160" s="5" t="s">
        <v>11</v>
      </c>
      <c r="E160">
        <v>2</v>
      </c>
      <c r="F160" s="5" t="s">
        <v>41</v>
      </c>
      <c r="G160" s="5" t="s">
        <v>25</v>
      </c>
      <c r="H160" s="5" t="s">
        <v>29</v>
      </c>
      <c r="I160" s="1">
        <v>46134</v>
      </c>
      <c r="J160" t="str">
        <f t="shared" si="7"/>
        <v>Negaitive</v>
      </c>
      <c r="K160">
        <f t="shared" si="6"/>
        <v>2026</v>
      </c>
    </row>
    <row r="161" spans="1:11" x14ac:dyDescent="0.35">
      <c r="A161" t="s">
        <v>217</v>
      </c>
      <c r="B161" s="5" t="s">
        <v>56</v>
      </c>
      <c r="C161">
        <v>47</v>
      </c>
      <c r="D161" s="5" t="s">
        <v>17</v>
      </c>
      <c r="E161">
        <v>4</v>
      </c>
      <c r="F161" s="5" t="s">
        <v>57</v>
      </c>
      <c r="G161" s="5" t="s">
        <v>38</v>
      </c>
      <c r="H161" s="5" t="s">
        <v>42</v>
      </c>
      <c r="I161" s="1">
        <v>46164</v>
      </c>
      <c r="J161" t="str">
        <f t="shared" si="7"/>
        <v>Positive</v>
      </c>
      <c r="K161">
        <f t="shared" si="6"/>
        <v>2026</v>
      </c>
    </row>
    <row r="162" spans="1:11" x14ac:dyDescent="0.35">
      <c r="A162" t="s">
        <v>218</v>
      </c>
      <c r="B162" s="5" t="s">
        <v>75</v>
      </c>
      <c r="C162">
        <v>50</v>
      </c>
      <c r="D162" s="5" t="s">
        <v>36</v>
      </c>
      <c r="E162">
        <v>4</v>
      </c>
      <c r="F162" s="5" t="s">
        <v>45</v>
      </c>
      <c r="G162" s="5" t="s">
        <v>51</v>
      </c>
      <c r="H162" s="5" t="s">
        <v>42</v>
      </c>
      <c r="I162" s="1">
        <v>46111</v>
      </c>
      <c r="J162" t="str">
        <f t="shared" si="7"/>
        <v>Positive</v>
      </c>
      <c r="K162">
        <f t="shared" ref="K162:K193" si="8">YEAR(I162)</f>
        <v>2026</v>
      </c>
    </row>
    <row r="163" spans="1:11" x14ac:dyDescent="0.35">
      <c r="A163" t="s">
        <v>219</v>
      </c>
      <c r="B163" s="5" t="s">
        <v>91</v>
      </c>
      <c r="C163">
        <v>53</v>
      </c>
      <c r="D163" s="5" t="s">
        <v>23</v>
      </c>
      <c r="E163">
        <v>4</v>
      </c>
      <c r="F163" s="5" t="s">
        <v>45</v>
      </c>
      <c r="G163" s="5" t="s">
        <v>25</v>
      </c>
      <c r="H163" s="5" t="s">
        <v>29</v>
      </c>
      <c r="I163" s="1">
        <v>46118</v>
      </c>
      <c r="J163" t="str">
        <f t="shared" si="7"/>
        <v>Positive</v>
      </c>
      <c r="K163">
        <f t="shared" si="8"/>
        <v>2026</v>
      </c>
    </row>
    <row r="164" spans="1:11" x14ac:dyDescent="0.35">
      <c r="A164" t="s">
        <v>220</v>
      </c>
      <c r="B164" s="5" t="s">
        <v>16</v>
      </c>
      <c r="C164">
        <v>19</v>
      </c>
      <c r="D164" s="5" t="s">
        <v>40</v>
      </c>
      <c r="E164">
        <v>3</v>
      </c>
      <c r="F164" s="5" t="s">
        <v>37</v>
      </c>
      <c r="G164" s="5" t="s">
        <v>19</v>
      </c>
      <c r="H164" s="5" t="s">
        <v>29</v>
      </c>
      <c r="I164" s="1">
        <v>46031</v>
      </c>
      <c r="J164" t="str">
        <f t="shared" si="7"/>
        <v>Neutal</v>
      </c>
      <c r="K164">
        <f t="shared" si="8"/>
        <v>2026</v>
      </c>
    </row>
    <row r="165" spans="1:11" x14ac:dyDescent="0.35">
      <c r="A165" t="s">
        <v>221</v>
      </c>
      <c r="B165" s="5" t="s">
        <v>53</v>
      </c>
      <c r="C165">
        <v>48</v>
      </c>
      <c r="D165" s="5" t="s">
        <v>23</v>
      </c>
      <c r="E165">
        <v>5</v>
      </c>
      <c r="F165" s="5" t="s">
        <v>18</v>
      </c>
      <c r="G165" s="5" t="s">
        <v>19</v>
      </c>
      <c r="H165" s="5" t="s">
        <v>42</v>
      </c>
      <c r="I165" s="1">
        <v>46163</v>
      </c>
      <c r="J165" t="str">
        <f t="shared" si="7"/>
        <v>Positive</v>
      </c>
      <c r="K165">
        <f t="shared" si="8"/>
        <v>2026</v>
      </c>
    </row>
    <row r="166" spans="1:11" x14ac:dyDescent="0.35">
      <c r="A166" t="s">
        <v>222</v>
      </c>
      <c r="B166" s="5" t="s">
        <v>49</v>
      </c>
      <c r="C166">
        <v>47</v>
      </c>
      <c r="D166" s="5" t="s">
        <v>17</v>
      </c>
      <c r="E166">
        <v>3</v>
      </c>
      <c r="F166" s="5" t="s">
        <v>84</v>
      </c>
      <c r="G166" s="5" t="s">
        <v>38</v>
      </c>
      <c r="H166" s="5" t="s">
        <v>14</v>
      </c>
      <c r="I166" s="1">
        <v>46041</v>
      </c>
      <c r="J166" t="str">
        <f t="shared" si="7"/>
        <v>Neutal</v>
      </c>
      <c r="K166">
        <f t="shared" si="8"/>
        <v>2026</v>
      </c>
    </row>
    <row r="167" spans="1:11" x14ac:dyDescent="0.35">
      <c r="A167" t="s">
        <v>223</v>
      </c>
      <c r="B167" s="5" t="s">
        <v>91</v>
      </c>
      <c r="C167">
        <v>26</v>
      </c>
      <c r="D167" s="5" t="s">
        <v>17</v>
      </c>
      <c r="E167">
        <v>4</v>
      </c>
      <c r="F167" s="5" t="s">
        <v>45</v>
      </c>
      <c r="G167" s="5" t="s">
        <v>33</v>
      </c>
      <c r="H167" s="5" t="s">
        <v>26</v>
      </c>
      <c r="I167" s="1">
        <v>46112</v>
      </c>
      <c r="J167" t="str">
        <f t="shared" si="7"/>
        <v>Positive</v>
      </c>
      <c r="K167">
        <f t="shared" si="8"/>
        <v>2026</v>
      </c>
    </row>
    <row r="168" spans="1:11" x14ac:dyDescent="0.35">
      <c r="A168" t="s">
        <v>224</v>
      </c>
      <c r="B168" s="5" t="s">
        <v>75</v>
      </c>
      <c r="C168">
        <v>45</v>
      </c>
      <c r="D168" s="5" t="s">
        <v>36</v>
      </c>
      <c r="E168">
        <v>4</v>
      </c>
      <c r="F168" s="5" t="s">
        <v>84</v>
      </c>
      <c r="G168" s="5" t="s">
        <v>25</v>
      </c>
      <c r="H168" s="5" t="s">
        <v>29</v>
      </c>
      <c r="I168" s="1">
        <v>46113</v>
      </c>
      <c r="J168" t="str">
        <f t="shared" si="7"/>
        <v>Positive</v>
      </c>
      <c r="K168">
        <f t="shared" si="8"/>
        <v>2026</v>
      </c>
    </row>
    <row r="169" spans="1:11" x14ac:dyDescent="0.35">
      <c r="A169" t="s">
        <v>225</v>
      </c>
      <c r="B169" s="5" t="s">
        <v>35</v>
      </c>
      <c r="C169">
        <v>43</v>
      </c>
      <c r="D169" s="5" t="s">
        <v>23</v>
      </c>
      <c r="E169">
        <v>4</v>
      </c>
      <c r="F169" s="5" t="s">
        <v>64</v>
      </c>
      <c r="G169" s="5" t="s">
        <v>33</v>
      </c>
      <c r="H169" s="5" t="s">
        <v>29</v>
      </c>
      <c r="I169" s="1">
        <v>46073</v>
      </c>
      <c r="J169" t="str">
        <f t="shared" si="7"/>
        <v>Positive</v>
      </c>
      <c r="K169">
        <f t="shared" si="8"/>
        <v>2026</v>
      </c>
    </row>
    <row r="170" spans="1:11" x14ac:dyDescent="0.35">
      <c r="A170" t="s">
        <v>226</v>
      </c>
      <c r="B170" s="5" t="s">
        <v>66</v>
      </c>
      <c r="C170">
        <v>29</v>
      </c>
      <c r="D170" s="5" t="s">
        <v>50</v>
      </c>
      <c r="E170">
        <v>5</v>
      </c>
      <c r="F170" s="5" t="s">
        <v>64</v>
      </c>
      <c r="G170" s="5" t="s">
        <v>51</v>
      </c>
      <c r="H170" s="5" t="s">
        <v>42</v>
      </c>
      <c r="I170" s="1">
        <v>46043</v>
      </c>
      <c r="J170" t="str">
        <f t="shared" si="7"/>
        <v>Positive</v>
      </c>
      <c r="K170">
        <f t="shared" si="8"/>
        <v>2026</v>
      </c>
    </row>
    <row r="171" spans="1:11" x14ac:dyDescent="0.35">
      <c r="A171" t="s">
        <v>227</v>
      </c>
      <c r="B171" s="5" t="s">
        <v>28</v>
      </c>
      <c r="C171">
        <v>25</v>
      </c>
      <c r="D171" s="5" t="s">
        <v>44</v>
      </c>
      <c r="E171">
        <v>1</v>
      </c>
      <c r="F171" s="5" t="s">
        <v>24</v>
      </c>
      <c r="G171" s="5" t="s">
        <v>38</v>
      </c>
      <c r="H171" s="5" t="s">
        <v>14</v>
      </c>
      <c r="I171" s="1">
        <v>45995</v>
      </c>
      <c r="J171" t="str">
        <f t="shared" si="7"/>
        <v>Negaitive</v>
      </c>
      <c r="K171">
        <f t="shared" si="8"/>
        <v>2025</v>
      </c>
    </row>
    <row r="172" spans="1:11" x14ac:dyDescent="0.35">
      <c r="A172" t="s">
        <v>228</v>
      </c>
      <c r="B172" s="5" t="s">
        <v>53</v>
      </c>
      <c r="C172">
        <v>21</v>
      </c>
      <c r="D172" s="5" t="s">
        <v>32</v>
      </c>
      <c r="E172">
        <v>5</v>
      </c>
      <c r="F172" s="5" t="s">
        <v>24</v>
      </c>
      <c r="G172" s="5" t="s">
        <v>51</v>
      </c>
      <c r="H172" s="5" t="s">
        <v>14</v>
      </c>
      <c r="I172" s="1">
        <v>46126</v>
      </c>
      <c r="J172" t="str">
        <f t="shared" si="7"/>
        <v>Positive</v>
      </c>
      <c r="K172">
        <f t="shared" si="8"/>
        <v>2026</v>
      </c>
    </row>
    <row r="173" spans="1:11" x14ac:dyDescent="0.35">
      <c r="A173" t="s">
        <v>229</v>
      </c>
      <c r="B173" s="5" t="s">
        <v>53</v>
      </c>
      <c r="C173">
        <v>39</v>
      </c>
      <c r="D173" s="5" t="s">
        <v>50</v>
      </c>
      <c r="E173">
        <v>4</v>
      </c>
      <c r="F173" s="5" t="s">
        <v>64</v>
      </c>
      <c r="G173" s="5" t="s">
        <v>25</v>
      </c>
      <c r="H173" s="5" t="s">
        <v>26</v>
      </c>
      <c r="I173" s="1">
        <v>46127</v>
      </c>
      <c r="J173" t="str">
        <f t="shared" si="7"/>
        <v>Positive</v>
      </c>
      <c r="K173">
        <f t="shared" si="8"/>
        <v>2026</v>
      </c>
    </row>
    <row r="174" spans="1:11" x14ac:dyDescent="0.35">
      <c r="A174" t="s">
        <v>230</v>
      </c>
      <c r="B174" s="5" t="s">
        <v>22</v>
      </c>
      <c r="C174">
        <v>31</v>
      </c>
      <c r="D174" s="5" t="s">
        <v>11</v>
      </c>
      <c r="E174">
        <v>1</v>
      </c>
      <c r="F174" s="5" t="s">
        <v>12</v>
      </c>
      <c r="G174" s="5" t="s">
        <v>51</v>
      </c>
      <c r="H174" s="5" t="s">
        <v>42</v>
      </c>
      <c r="I174" s="1">
        <v>46015</v>
      </c>
      <c r="J174" t="str">
        <f t="shared" si="7"/>
        <v>Negaitive</v>
      </c>
      <c r="K174">
        <f t="shared" si="8"/>
        <v>2025</v>
      </c>
    </row>
    <row r="175" spans="1:11" x14ac:dyDescent="0.35">
      <c r="A175" t="s">
        <v>231</v>
      </c>
      <c r="B175" s="5" t="s">
        <v>31</v>
      </c>
      <c r="C175">
        <v>58</v>
      </c>
      <c r="D175" s="5" t="s">
        <v>11</v>
      </c>
      <c r="E175">
        <v>1</v>
      </c>
      <c r="F175" s="5" t="s">
        <v>57</v>
      </c>
      <c r="G175" s="5" t="s">
        <v>25</v>
      </c>
      <c r="H175" s="5" t="s">
        <v>29</v>
      </c>
      <c r="I175" s="1">
        <v>46159</v>
      </c>
      <c r="J175" t="str">
        <f t="shared" si="7"/>
        <v>Negaitive</v>
      </c>
      <c r="K175">
        <f t="shared" si="8"/>
        <v>2026</v>
      </c>
    </row>
    <row r="176" spans="1:11" x14ac:dyDescent="0.35">
      <c r="A176" t="s">
        <v>232</v>
      </c>
      <c r="B176" s="5" t="s">
        <v>145</v>
      </c>
      <c r="C176">
        <v>26</v>
      </c>
      <c r="D176" s="5" t="s">
        <v>36</v>
      </c>
      <c r="E176">
        <v>2</v>
      </c>
      <c r="F176" s="5" t="s">
        <v>64</v>
      </c>
      <c r="G176" s="5" t="s">
        <v>51</v>
      </c>
      <c r="H176" s="5" t="s">
        <v>26</v>
      </c>
      <c r="I176" s="1">
        <v>46156</v>
      </c>
      <c r="J176" t="str">
        <f t="shared" si="7"/>
        <v>Negaitive</v>
      </c>
      <c r="K176">
        <f t="shared" si="8"/>
        <v>2026</v>
      </c>
    </row>
    <row r="177" spans="1:11" x14ac:dyDescent="0.35">
      <c r="A177" t="s">
        <v>233</v>
      </c>
      <c r="B177" s="5" t="s">
        <v>73</v>
      </c>
      <c r="C177">
        <v>34</v>
      </c>
      <c r="D177" s="5" t="s">
        <v>36</v>
      </c>
      <c r="E177">
        <v>3</v>
      </c>
      <c r="F177" s="5" t="s">
        <v>41</v>
      </c>
      <c r="G177" s="5" t="s">
        <v>33</v>
      </c>
      <c r="H177" s="5" t="s">
        <v>26</v>
      </c>
      <c r="I177" s="1">
        <v>46009</v>
      </c>
      <c r="J177" t="str">
        <f t="shared" si="7"/>
        <v>Neutal</v>
      </c>
      <c r="K177">
        <f t="shared" si="8"/>
        <v>2025</v>
      </c>
    </row>
    <row r="178" spans="1:11" x14ac:dyDescent="0.35">
      <c r="A178" t="s">
        <v>234</v>
      </c>
      <c r="B178" s="5" t="s">
        <v>75</v>
      </c>
      <c r="C178">
        <v>39</v>
      </c>
      <c r="D178" s="5" t="s">
        <v>36</v>
      </c>
      <c r="E178">
        <v>2</v>
      </c>
      <c r="F178" s="5" t="s">
        <v>45</v>
      </c>
      <c r="G178" s="5" t="s">
        <v>38</v>
      </c>
      <c r="H178" s="5" t="s">
        <v>14</v>
      </c>
      <c r="I178" s="1">
        <v>46053</v>
      </c>
      <c r="J178" t="str">
        <f t="shared" si="7"/>
        <v>Negaitive</v>
      </c>
      <c r="K178">
        <f t="shared" si="8"/>
        <v>2026</v>
      </c>
    </row>
    <row r="179" spans="1:11" x14ac:dyDescent="0.35">
      <c r="A179" t="s">
        <v>235</v>
      </c>
      <c r="B179" s="5" t="s">
        <v>49</v>
      </c>
      <c r="C179">
        <v>27</v>
      </c>
      <c r="D179" s="5" t="s">
        <v>44</v>
      </c>
      <c r="E179">
        <v>4</v>
      </c>
      <c r="F179" s="5" t="s">
        <v>84</v>
      </c>
      <c r="G179" s="5" t="s">
        <v>13</v>
      </c>
      <c r="H179" s="5" t="s">
        <v>14</v>
      </c>
      <c r="I179" s="1">
        <v>46034</v>
      </c>
      <c r="J179" t="str">
        <f t="shared" si="7"/>
        <v>Positive</v>
      </c>
      <c r="K179">
        <f t="shared" si="8"/>
        <v>2026</v>
      </c>
    </row>
    <row r="180" spans="1:11" x14ac:dyDescent="0.35">
      <c r="A180" t="s">
        <v>236</v>
      </c>
      <c r="B180" s="5" t="s">
        <v>53</v>
      </c>
      <c r="C180">
        <v>49</v>
      </c>
      <c r="D180" s="5" t="s">
        <v>17</v>
      </c>
      <c r="E180">
        <v>3</v>
      </c>
      <c r="F180" s="5" t="s">
        <v>37</v>
      </c>
      <c r="G180" s="5" t="s">
        <v>33</v>
      </c>
      <c r="H180" s="5" t="s">
        <v>14</v>
      </c>
      <c r="I180" s="1">
        <v>46011</v>
      </c>
      <c r="J180" t="str">
        <f t="shared" si="7"/>
        <v>Neutal</v>
      </c>
      <c r="K180">
        <f t="shared" si="8"/>
        <v>2025</v>
      </c>
    </row>
    <row r="181" spans="1:11" x14ac:dyDescent="0.35">
      <c r="A181" t="s">
        <v>237</v>
      </c>
      <c r="B181" s="5" t="s">
        <v>61</v>
      </c>
      <c r="C181">
        <v>47</v>
      </c>
      <c r="D181" s="5" t="s">
        <v>44</v>
      </c>
      <c r="E181">
        <v>1</v>
      </c>
      <c r="F181" s="5" t="s">
        <v>24</v>
      </c>
      <c r="G181" s="5" t="s">
        <v>13</v>
      </c>
      <c r="H181" s="5" t="s">
        <v>20</v>
      </c>
      <c r="I181" s="1">
        <v>46013</v>
      </c>
      <c r="J181" t="str">
        <f t="shared" si="7"/>
        <v>Negaitive</v>
      </c>
      <c r="K181">
        <f t="shared" si="8"/>
        <v>2025</v>
      </c>
    </row>
    <row r="182" spans="1:11" x14ac:dyDescent="0.35">
      <c r="A182" t="s">
        <v>238</v>
      </c>
      <c r="B182" s="5" t="s">
        <v>66</v>
      </c>
      <c r="C182">
        <v>48</v>
      </c>
      <c r="D182" s="5" t="s">
        <v>50</v>
      </c>
      <c r="E182">
        <v>2</v>
      </c>
      <c r="F182" s="5" t="s">
        <v>64</v>
      </c>
      <c r="G182" s="5" t="s">
        <v>19</v>
      </c>
      <c r="H182" s="5" t="s">
        <v>20</v>
      </c>
      <c r="I182" s="1">
        <v>46014</v>
      </c>
      <c r="J182" t="str">
        <f t="shared" si="7"/>
        <v>Negaitive</v>
      </c>
      <c r="K182">
        <f t="shared" si="8"/>
        <v>2025</v>
      </c>
    </row>
    <row r="183" spans="1:11" x14ac:dyDescent="0.35">
      <c r="A183" t="s">
        <v>239</v>
      </c>
      <c r="B183" s="5" t="s">
        <v>49</v>
      </c>
      <c r="C183">
        <v>59</v>
      </c>
      <c r="D183" s="5" t="s">
        <v>32</v>
      </c>
      <c r="E183">
        <v>2</v>
      </c>
      <c r="F183" s="5" t="s">
        <v>45</v>
      </c>
      <c r="G183" s="5" t="s">
        <v>51</v>
      </c>
      <c r="H183" s="5" t="s">
        <v>29</v>
      </c>
      <c r="I183" s="1">
        <v>46076</v>
      </c>
      <c r="J183" t="str">
        <f t="shared" si="7"/>
        <v>Negaitive</v>
      </c>
      <c r="K183">
        <f t="shared" si="8"/>
        <v>2026</v>
      </c>
    </row>
    <row r="184" spans="1:11" x14ac:dyDescent="0.35">
      <c r="A184" t="s">
        <v>240</v>
      </c>
      <c r="B184" s="5" t="s">
        <v>61</v>
      </c>
      <c r="C184">
        <v>40</v>
      </c>
      <c r="D184" s="5" t="s">
        <v>44</v>
      </c>
      <c r="E184">
        <v>2</v>
      </c>
      <c r="F184" s="5" t="s">
        <v>18</v>
      </c>
      <c r="G184" s="5" t="s">
        <v>13</v>
      </c>
      <c r="H184" s="5" t="s">
        <v>14</v>
      </c>
      <c r="I184" s="1">
        <v>46135</v>
      </c>
      <c r="J184" t="str">
        <f t="shared" si="7"/>
        <v>Negaitive</v>
      </c>
      <c r="K184">
        <f t="shared" si="8"/>
        <v>2026</v>
      </c>
    </row>
    <row r="185" spans="1:11" x14ac:dyDescent="0.35">
      <c r="A185" t="s">
        <v>241</v>
      </c>
      <c r="B185" s="5" t="s">
        <v>66</v>
      </c>
      <c r="C185">
        <v>39</v>
      </c>
      <c r="D185" s="5" t="s">
        <v>44</v>
      </c>
      <c r="E185">
        <v>5</v>
      </c>
      <c r="F185" s="5" t="s">
        <v>57</v>
      </c>
      <c r="G185" s="5" t="s">
        <v>38</v>
      </c>
      <c r="H185" s="5" t="s">
        <v>14</v>
      </c>
      <c r="I185" s="1">
        <v>46058</v>
      </c>
      <c r="J185" t="str">
        <f t="shared" si="7"/>
        <v>Positive</v>
      </c>
      <c r="K185">
        <f t="shared" si="8"/>
        <v>2026</v>
      </c>
    </row>
    <row r="186" spans="1:11" x14ac:dyDescent="0.35">
      <c r="A186" t="s">
        <v>242</v>
      </c>
      <c r="B186" s="5" t="s">
        <v>145</v>
      </c>
      <c r="C186">
        <v>43</v>
      </c>
      <c r="D186" s="5" t="s">
        <v>23</v>
      </c>
      <c r="E186">
        <v>3</v>
      </c>
      <c r="F186" s="5" t="s">
        <v>18</v>
      </c>
      <c r="G186" s="5" t="s">
        <v>38</v>
      </c>
      <c r="H186" s="5" t="s">
        <v>14</v>
      </c>
      <c r="I186" s="1">
        <v>46150</v>
      </c>
      <c r="J186" t="str">
        <f t="shared" si="7"/>
        <v>Neutal</v>
      </c>
      <c r="K186">
        <f t="shared" si="8"/>
        <v>2026</v>
      </c>
    </row>
    <row r="187" spans="1:11" x14ac:dyDescent="0.35">
      <c r="A187" t="s">
        <v>243</v>
      </c>
      <c r="B187" s="5" t="s">
        <v>53</v>
      </c>
      <c r="C187">
        <v>26</v>
      </c>
      <c r="D187" s="5" t="s">
        <v>11</v>
      </c>
      <c r="E187">
        <v>2</v>
      </c>
      <c r="F187" s="5" t="s">
        <v>37</v>
      </c>
      <c r="G187" s="5" t="s">
        <v>13</v>
      </c>
      <c r="H187" s="5" t="s">
        <v>42</v>
      </c>
      <c r="I187" s="1">
        <v>46076</v>
      </c>
      <c r="J187" t="str">
        <f t="shared" si="7"/>
        <v>Negaitive</v>
      </c>
      <c r="K187">
        <f t="shared" si="8"/>
        <v>2026</v>
      </c>
    </row>
    <row r="188" spans="1:11" x14ac:dyDescent="0.35">
      <c r="A188" t="s">
        <v>244</v>
      </c>
      <c r="B188" s="5" t="s">
        <v>35</v>
      </c>
      <c r="C188">
        <v>32</v>
      </c>
      <c r="D188" s="5" t="s">
        <v>11</v>
      </c>
      <c r="E188">
        <v>1</v>
      </c>
      <c r="F188" s="5" t="s">
        <v>64</v>
      </c>
      <c r="G188" s="5" t="s">
        <v>25</v>
      </c>
      <c r="H188" s="5" t="s">
        <v>20</v>
      </c>
      <c r="I188" s="1">
        <v>46149</v>
      </c>
      <c r="J188" t="str">
        <f t="shared" si="7"/>
        <v>Negaitive</v>
      </c>
      <c r="K188">
        <f t="shared" si="8"/>
        <v>2026</v>
      </c>
    </row>
    <row r="189" spans="1:11" x14ac:dyDescent="0.35">
      <c r="A189" t="s">
        <v>245</v>
      </c>
      <c r="B189" s="5" t="s">
        <v>53</v>
      </c>
      <c r="C189">
        <v>47</v>
      </c>
      <c r="D189" s="5" t="s">
        <v>36</v>
      </c>
      <c r="E189">
        <v>1</v>
      </c>
      <c r="F189" s="5" t="s">
        <v>45</v>
      </c>
      <c r="G189" s="5" t="s">
        <v>51</v>
      </c>
      <c r="H189" s="5" t="s">
        <v>29</v>
      </c>
      <c r="I189" s="1">
        <v>45993</v>
      </c>
      <c r="J189" t="str">
        <f t="shared" si="7"/>
        <v>Negaitive</v>
      </c>
      <c r="K189">
        <f t="shared" si="8"/>
        <v>2025</v>
      </c>
    </row>
    <row r="190" spans="1:11" x14ac:dyDescent="0.35">
      <c r="A190" t="s">
        <v>246</v>
      </c>
      <c r="B190" s="5" t="s">
        <v>22</v>
      </c>
      <c r="C190">
        <v>31</v>
      </c>
      <c r="D190" s="5" t="s">
        <v>40</v>
      </c>
      <c r="E190">
        <v>3</v>
      </c>
      <c r="F190" s="5" t="s">
        <v>18</v>
      </c>
      <c r="G190" s="5" t="s">
        <v>19</v>
      </c>
      <c r="H190" s="5" t="s">
        <v>29</v>
      </c>
      <c r="I190" s="1">
        <v>46073</v>
      </c>
      <c r="J190" t="str">
        <f t="shared" si="7"/>
        <v>Neutal</v>
      </c>
      <c r="K190">
        <f t="shared" si="8"/>
        <v>2026</v>
      </c>
    </row>
    <row r="191" spans="1:11" x14ac:dyDescent="0.35">
      <c r="A191" t="s">
        <v>247</v>
      </c>
      <c r="B191" s="5" t="s">
        <v>35</v>
      </c>
      <c r="C191">
        <v>31</v>
      </c>
      <c r="D191" s="5" t="s">
        <v>44</v>
      </c>
      <c r="E191">
        <v>5</v>
      </c>
      <c r="F191" s="5" t="s">
        <v>57</v>
      </c>
      <c r="G191" s="5" t="s">
        <v>38</v>
      </c>
      <c r="H191" s="5" t="s">
        <v>42</v>
      </c>
      <c r="I191" s="1">
        <v>45999</v>
      </c>
      <c r="J191" t="str">
        <f t="shared" si="7"/>
        <v>Positive</v>
      </c>
      <c r="K191">
        <f t="shared" si="8"/>
        <v>2025</v>
      </c>
    </row>
    <row r="192" spans="1:11" x14ac:dyDescent="0.35">
      <c r="A192" t="s">
        <v>248</v>
      </c>
      <c r="B192" s="5" t="s">
        <v>56</v>
      </c>
      <c r="C192">
        <v>54</v>
      </c>
      <c r="D192" s="5" t="s">
        <v>17</v>
      </c>
      <c r="E192">
        <v>1</v>
      </c>
      <c r="F192" s="5" t="s">
        <v>41</v>
      </c>
      <c r="G192" s="5" t="s">
        <v>25</v>
      </c>
      <c r="H192" s="5" t="s">
        <v>29</v>
      </c>
      <c r="I192" s="1">
        <v>46095</v>
      </c>
      <c r="J192" t="str">
        <f t="shared" si="7"/>
        <v>Negaitive</v>
      </c>
      <c r="K192">
        <f t="shared" si="8"/>
        <v>2026</v>
      </c>
    </row>
    <row r="193" spans="1:11" x14ac:dyDescent="0.35">
      <c r="A193" t="s">
        <v>249</v>
      </c>
      <c r="B193" s="5" t="s">
        <v>53</v>
      </c>
      <c r="C193">
        <v>53</v>
      </c>
      <c r="D193" s="5" t="s">
        <v>23</v>
      </c>
      <c r="E193">
        <v>5</v>
      </c>
      <c r="F193" s="5" t="s">
        <v>24</v>
      </c>
      <c r="G193" s="5" t="s">
        <v>51</v>
      </c>
      <c r="H193" s="5" t="s">
        <v>42</v>
      </c>
      <c r="I193" s="1">
        <v>46004</v>
      </c>
      <c r="J193" t="str">
        <f t="shared" si="7"/>
        <v>Positive</v>
      </c>
      <c r="K193">
        <f t="shared" si="8"/>
        <v>2025</v>
      </c>
    </row>
    <row r="194" spans="1:11" x14ac:dyDescent="0.35">
      <c r="A194" t="s">
        <v>250</v>
      </c>
      <c r="B194" s="5" t="s">
        <v>113</v>
      </c>
      <c r="C194">
        <v>42</v>
      </c>
      <c r="D194" s="5" t="s">
        <v>23</v>
      </c>
      <c r="E194">
        <v>5</v>
      </c>
      <c r="F194" s="5" t="s">
        <v>41</v>
      </c>
      <c r="G194" s="5" t="s">
        <v>51</v>
      </c>
      <c r="H194" s="5" t="s">
        <v>20</v>
      </c>
      <c r="I194" s="1">
        <v>46108</v>
      </c>
      <c r="J194" t="str">
        <f t="shared" si="7"/>
        <v>Positive</v>
      </c>
      <c r="K194">
        <f t="shared" ref="K194:K201" si="9">YEAR(I194)</f>
        <v>2026</v>
      </c>
    </row>
    <row r="195" spans="1:11" x14ac:dyDescent="0.35">
      <c r="A195" t="s">
        <v>251</v>
      </c>
      <c r="B195" s="5" t="s">
        <v>71</v>
      </c>
      <c r="C195">
        <v>44</v>
      </c>
      <c r="D195" s="5" t="s">
        <v>23</v>
      </c>
      <c r="E195">
        <v>5</v>
      </c>
      <c r="F195" s="5" t="s">
        <v>37</v>
      </c>
      <c r="G195" s="5" t="s">
        <v>19</v>
      </c>
      <c r="H195" s="5" t="s">
        <v>20</v>
      </c>
      <c r="I195" s="1">
        <v>45997</v>
      </c>
      <c r="J195" t="str">
        <f t="shared" ref="J195:J201" si="10">IF(E195&gt;=4,"Positive",IF(E195=3,"Neutal","Negaitive"))</f>
        <v>Positive</v>
      </c>
      <c r="K195">
        <f t="shared" si="9"/>
        <v>2025</v>
      </c>
    </row>
    <row r="196" spans="1:11" x14ac:dyDescent="0.35">
      <c r="A196" t="s">
        <v>252</v>
      </c>
      <c r="B196" s="5" t="s">
        <v>53</v>
      </c>
      <c r="C196">
        <v>43</v>
      </c>
      <c r="D196" s="5" t="s">
        <v>50</v>
      </c>
      <c r="E196">
        <v>5</v>
      </c>
      <c r="F196" s="5" t="s">
        <v>24</v>
      </c>
      <c r="G196" s="5" t="s">
        <v>25</v>
      </c>
      <c r="H196" s="5" t="s">
        <v>20</v>
      </c>
      <c r="I196" s="1">
        <v>46086</v>
      </c>
      <c r="J196" t="str">
        <f t="shared" si="10"/>
        <v>Positive</v>
      </c>
      <c r="K196">
        <f t="shared" si="9"/>
        <v>2026</v>
      </c>
    </row>
    <row r="197" spans="1:11" x14ac:dyDescent="0.35">
      <c r="A197" t="s">
        <v>253</v>
      </c>
      <c r="B197" s="5" t="s">
        <v>16</v>
      </c>
      <c r="C197">
        <v>42</v>
      </c>
      <c r="D197" s="5" t="s">
        <v>32</v>
      </c>
      <c r="E197">
        <v>1</v>
      </c>
      <c r="F197" s="5" t="s">
        <v>57</v>
      </c>
      <c r="G197" s="5" t="s">
        <v>51</v>
      </c>
      <c r="H197" s="5" t="s">
        <v>26</v>
      </c>
      <c r="I197" s="1">
        <v>46138</v>
      </c>
      <c r="J197" t="str">
        <f t="shared" si="10"/>
        <v>Negaitive</v>
      </c>
      <c r="K197">
        <f t="shared" si="9"/>
        <v>2026</v>
      </c>
    </row>
    <row r="198" spans="1:11" x14ac:dyDescent="0.35">
      <c r="A198" t="s">
        <v>254</v>
      </c>
      <c r="B198" s="5" t="s">
        <v>113</v>
      </c>
      <c r="C198">
        <v>39</v>
      </c>
      <c r="D198" s="5" t="s">
        <v>32</v>
      </c>
      <c r="E198">
        <v>1</v>
      </c>
      <c r="F198" s="5" t="s">
        <v>24</v>
      </c>
      <c r="G198" s="5" t="s">
        <v>13</v>
      </c>
      <c r="H198" s="5" t="s">
        <v>14</v>
      </c>
      <c r="I198" s="1">
        <v>46074</v>
      </c>
      <c r="J198" t="str">
        <f t="shared" si="10"/>
        <v>Negaitive</v>
      </c>
      <c r="K198">
        <f t="shared" si="9"/>
        <v>2026</v>
      </c>
    </row>
    <row r="199" spans="1:11" x14ac:dyDescent="0.35">
      <c r="A199" t="s">
        <v>255</v>
      </c>
      <c r="B199" s="5" t="s">
        <v>53</v>
      </c>
      <c r="C199">
        <v>42</v>
      </c>
      <c r="D199" s="5" t="s">
        <v>50</v>
      </c>
      <c r="E199">
        <v>5</v>
      </c>
      <c r="F199" s="5" t="s">
        <v>84</v>
      </c>
      <c r="G199" s="5" t="s">
        <v>19</v>
      </c>
      <c r="H199" s="5" t="s">
        <v>20</v>
      </c>
      <c r="I199" s="1">
        <v>46161</v>
      </c>
      <c r="J199" t="str">
        <f t="shared" si="10"/>
        <v>Positive</v>
      </c>
      <c r="K199">
        <f t="shared" si="9"/>
        <v>2026</v>
      </c>
    </row>
    <row r="200" spans="1:11" x14ac:dyDescent="0.35">
      <c r="A200" t="s">
        <v>256</v>
      </c>
      <c r="B200" s="5" t="s">
        <v>28</v>
      </c>
      <c r="C200">
        <v>54</v>
      </c>
      <c r="D200" s="5" t="s">
        <v>32</v>
      </c>
      <c r="E200">
        <v>5</v>
      </c>
      <c r="F200" s="5" t="s">
        <v>41</v>
      </c>
      <c r="G200" s="5" t="s">
        <v>19</v>
      </c>
      <c r="H200" s="5" t="s">
        <v>29</v>
      </c>
      <c r="I200" s="1">
        <v>46063</v>
      </c>
      <c r="J200" t="str">
        <f t="shared" si="10"/>
        <v>Positive</v>
      </c>
      <c r="K200">
        <f t="shared" si="9"/>
        <v>2026</v>
      </c>
    </row>
    <row r="201" spans="1:11" x14ac:dyDescent="0.35">
      <c r="A201" t="s">
        <v>257</v>
      </c>
      <c r="B201" s="5" t="s">
        <v>22</v>
      </c>
      <c r="C201">
        <v>26</v>
      </c>
      <c r="D201" s="5" t="s">
        <v>44</v>
      </c>
      <c r="E201">
        <v>1</v>
      </c>
      <c r="F201" s="5" t="s">
        <v>57</v>
      </c>
      <c r="G201" s="5" t="s">
        <v>25</v>
      </c>
      <c r="H201" s="5" t="s">
        <v>20</v>
      </c>
      <c r="I201" s="1">
        <v>46012</v>
      </c>
      <c r="J201" t="str">
        <f t="shared" si="10"/>
        <v>Negaitive</v>
      </c>
      <c r="K201">
        <f t="shared" si="9"/>
        <v>2025</v>
      </c>
    </row>
  </sheetData>
  <dataValidations count="2">
    <dataValidation type="date" showInputMessage="1" showErrorMessage="1" sqref="I1:I1048576" xr:uid="{7A2835A9-1247-40E9-913D-868FE18C8713}">
      <formula1>45658</formula1>
      <formula2>46022</formula2>
    </dataValidation>
    <dataValidation type="date" operator="equal" allowBlank="1" showInputMessage="1" showErrorMessage="1" sqref="K1 K3:K1048576" xr:uid="{B551264B-C49C-423E-ABA0-F638958CA2FA}">
      <formula1>2025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Naagar</dc:creator>
  <cp:lastModifiedBy>Khushi Naagar</cp:lastModifiedBy>
  <dcterms:created xsi:type="dcterms:W3CDTF">2026-05-23T06:57:32Z</dcterms:created>
  <dcterms:modified xsi:type="dcterms:W3CDTF">2026-06-09T05:44:46Z</dcterms:modified>
</cp:coreProperties>
</file>